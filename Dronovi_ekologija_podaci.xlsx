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edran\Desktop\mipro_drones\"/>
    </mc:Choice>
  </mc:AlternateContent>
  <bookViews>
    <workbookView xWindow="0" yWindow="0" windowWidth="38400" windowHeight="17580" tabRatio="500" activeTab="6"/>
  </bookViews>
  <sheets>
    <sheet name="README" sheetId="1" r:id="rId1"/>
    <sheet name="Annual" sheetId="2" r:id="rId2"/>
    <sheet name="Raw_long" sheetId="3" r:id="rId3"/>
    <sheet name="Queries" sheetId="4" r:id="rId4"/>
    <sheet name="Aggregates" sheetId="5" r:id="rId5"/>
    <sheet name="Registry" sheetId="6" r:id="rId6"/>
    <sheet name="Model_results" sheetId="7" r:id="rId7"/>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34" i="2" l="1"/>
  <c r="B33" i="2"/>
  <c r="B32" i="2"/>
  <c r="T29" i="2"/>
  <c r="S29" i="2"/>
  <c r="R29" i="2"/>
  <c r="Q29" i="2"/>
  <c r="T28" i="2"/>
  <c r="S28" i="2"/>
  <c r="R28" i="2"/>
  <c r="Q28" i="2"/>
  <c r="B36" i="2" s="1"/>
  <c r="T27" i="2"/>
  <c r="S27" i="2"/>
  <c r="R27" i="2"/>
  <c r="Q27" i="2"/>
  <c r="T26" i="2"/>
  <c r="S26" i="2"/>
  <c r="R26" i="2"/>
  <c r="Q26" i="2"/>
  <c r="T25" i="2"/>
  <c r="S25" i="2"/>
  <c r="R25" i="2"/>
  <c r="Q25" i="2"/>
  <c r="T24" i="2"/>
  <c r="S24" i="2"/>
  <c r="R24" i="2"/>
  <c r="Q24" i="2"/>
  <c r="T23" i="2"/>
  <c r="S23" i="2"/>
  <c r="R23" i="2"/>
  <c r="Q23" i="2"/>
  <c r="T22" i="2"/>
  <c r="S22" i="2"/>
  <c r="R22" i="2"/>
  <c r="Q22" i="2"/>
  <c r="T21" i="2"/>
  <c r="S21" i="2"/>
  <c r="R21" i="2"/>
  <c r="Q21" i="2"/>
  <c r="T20" i="2"/>
  <c r="S20" i="2"/>
  <c r="R20" i="2"/>
  <c r="Q20" i="2"/>
  <c r="T19" i="2"/>
  <c r="S19" i="2"/>
  <c r="R19" i="2"/>
  <c r="Q19" i="2"/>
  <c r="T18" i="2"/>
  <c r="S18" i="2"/>
  <c r="R18" i="2"/>
  <c r="Q18" i="2"/>
  <c r="T17" i="2"/>
  <c r="S17" i="2"/>
  <c r="R17" i="2"/>
  <c r="Q17" i="2"/>
  <c r="T16" i="2"/>
  <c r="S16" i="2"/>
  <c r="R16" i="2"/>
  <c r="Q16" i="2"/>
  <c r="T15" i="2"/>
  <c r="S15" i="2"/>
  <c r="R15" i="2"/>
  <c r="Q15" i="2"/>
  <c r="T14" i="2"/>
  <c r="S14" i="2"/>
  <c r="R14" i="2"/>
  <c r="Q14" i="2"/>
  <c r="T13" i="2"/>
  <c r="S13" i="2"/>
  <c r="R13" i="2"/>
  <c r="Q13" i="2"/>
  <c r="T12" i="2"/>
  <c r="S12" i="2"/>
  <c r="R12" i="2"/>
  <c r="Q12" i="2"/>
  <c r="T11" i="2"/>
  <c r="S11" i="2"/>
  <c r="R11" i="2"/>
  <c r="Q11" i="2"/>
  <c r="T10" i="2"/>
  <c r="S10" i="2"/>
  <c r="R10" i="2"/>
  <c r="Q10" i="2"/>
  <c r="T9" i="2"/>
  <c r="S9" i="2"/>
  <c r="R9" i="2"/>
  <c r="Q9" i="2"/>
  <c r="T8" i="2"/>
  <c r="S8" i="2"/>
  <c r="R8" i="2"/>
  <c r="Q8" i="2"/>
  <c r="B35" i="2" s="1"/>
  <c r="T7" i="2"/>
  <c r="S7" i="2"/>
  <c r="R7" i="2"/>
  <c r="Q7" i="2"/>
  <c r="T6" i="2"/>
  <c r="S6" i="2"/>
  <c r="R6" i="2"/>
  <c r="Q6" i="2"/>
  <c r="T5" i="2"/>
  <c r="S5" i="2"/>
  <c r="R5" i="2"/>
  <c r="Q5" i="2"/>
  <c r="T4" i="2"/>
  <c r="S4" i="2"/>
  <c r="R4" i="2"/>
  <c r="Q4" i="2"/>
  <c r="T3" i="2"/>
  <c r="R3" i="2"/>
  <c r="Q3" i="2"/>
</calcChain>
</file>

<file path=xl/comments1.xml><?xml version="1.0" encoding="utf-8"?>
<comments xmlns="http://schemas.openxmlformats.org/spreadsheetml/2006/main">
  <authors>
    <author>Unknown Author</author>
  </authors>
  <commentList>
    <comment ref="A1" authorId="0" shapeId="0">
      <text>
        <r>
          <rPr>
            <sz val="10"/>
            <rFont val="Arial"/>
            <family val="2"/>
          </rPr>
          <t>publication_year u OpenAlexu; 2026 je nepotpuna (dohvat 26. 8. 2026.)</t>
        </r>
      </text>
    </comment>
  </commentList>
</comments>
</file>

<file path=xl/sharedStrings.xml><?xml version="1.0" encoding="utf-8"?>
<sst xmlns="http://schemas.openxmlformats.org/spreadsheetml/2006/main" count="668" uniqueCount="210">
  <si>
    <t>Dronovi u ekologiji i zaštiti okoliša — podaci za analizu i predviđanje</t>
  </si>
  <si>
    <t>Izvor: OpenAlex (https://api.openalex.org), endpoint /works, group_by=publication_year; datum dohvata 26. 8. 2026.</t>
  </si>
  <si>
    <t>Filtri zajednički svim upitima: title_and_abstract.search:&lt;UPIT&gt;, publication_year:2000-2026, type:article|review</t>
  </si>
  <si>
    <t>URL-predložak: https://api.openalex.org/works?filter=title_and_abstract.search:&lt;UPIT&gt;,publication_year:2000-2026,type:article|review&amp;group_by=publication_year&amp;per-page=50&amp;mailto=&lt;e-mail&gt;</t>
  </si>
  <si>
    <t>Listovi:</t>
  </si>
  <si>
    <t xml:space="preserve">  Annual — jedan redak = jedna godina; stupci B–N su dohvaćeni brojevi (plavo), stupci P–S su formule (crno). Ovo je ulaz za MATLAB skriptu (CSV verzija: openalex_drone_env_annual.csv).</t>
  </si>
  <si>
    <t xml:space="preserve">  Raw_long — isti podaci u dugom formatu (serija, godina, broj), kako su ispisani iz API-ja.</t>
  </si>
  <si>
    <t xml:space="preserve">  Queries — točne definicije svih Booleovih upita.</t>
  </si>
  <si>
    <t xml:space="preserve">  Aggregates — zemlje, časopisi, polja, otvoreni pristup, citiranost za core upit 2005–2025.</t>
  </si>
  <si>
    <t xml:space="preserve">  Registry — FAA / AESA / EASA / HACZ registarski pokazatelji s izvorima (pomoćno; Eurostat nema seriju o dronovima).</t>
  </si>
  <si>
    <t xml:space="preserve">  Model_results — izlaz skripte drone_env_forecast.m (Octave, 1000 bootstrap replika): modeli i predviđanja. NISU ulazni podaci.</t>
  </si>
  <si>
    <t>Boje: plavo = dohvaćeni/uneseni podaci, crno = formule.</t>
  </si>
  <si>
    <t>Napomene: 2026. je nepotpuna godina (complete_year = 0) i ne ulazi u fit. Poddomene (sub_*) se preklapaju i nisu podskup core_drone_env.</t>
  </si>
  <si>
    <t>Skok u 2025. u svim serijama dijelom je artefakt indeksiranja OpenAlexa (vidi codebook.md).</t>
  </si>
  <si>
    <t>year</t>
  </si>
  <si>
    <t>core_drone_env</t>
  </si>
  <si>
    <t>env_only</t>
  </si>
  <si>
    <t>drone_only</t>
  </si>
  <si>
    <t>field23_envsci</t>
  </si>
  <si>
    <t>all_works</t>
  </si>
  <si>
    <t>sub_fauna</t>
  </si>
  <si>
    <t>sub_forest</t>
  </si>
  <si>
    <t>sub_water</t>
  </si>
  <si>
    <t>sub_air</t>
  </si>
  <si>
    <t>sub_wildfire</t>
  </si>
  <si>
    <t>sub_conservation</t>
  </si>
  <si>
    <t>HR_core</t>
  </si>
  <si>
    <t>HR_all</t>
  </si>
  <si>
    <t>complete_year</t>
  </si>
  <si>
    <t>share_per_1000_env</t>
  </si>
  <si>
    <t>share_of_drone_lit</t>
  </si>
  <si>
    <t>core_yoy_growth</t>
  </si>
  <si>
    <t>share_field23_per_1000</t>
  </si>
  <si>
    <t>godina</t>
  </si>
  <si>
    <t>broj radova</t>
  </si>
  <si>
    <t>1 = puna godina</t>
  </si>
  <si>
    <t>core/env_only×1000</t>
  </si>
  <si>
    <t>core/drone_only</t>
  </si>
  <si>
    <t>(core_t/core_t-1)−1</t>
  </si>
  <si>
    <t>core/field23×1000</t>
  </si>
  <si>
    <t>Sažetak (formule, potpune godine 2005–2025)</t>
  </si>
  <si>
    <t>Ukupno radova 2005–2025</t>
  </si>
  <si>
    <t>CAGR 2005–2025</t>
  </si>
  <si>
    <t>CAGR 2015–2025</t>
  </si>
  <si>
    <t>Udio na 1000 (2005)</t>
  </si>
  <si>
    <t>Udio na 1000 (2025)</t>
  </si>
  <si>
    <t>Izvor: OpenAlex API, dohvat 26. 8. 2026.; upiti na listu Queries.</t>
  </si>
  <si>
    <t>series</t>
  </si>
  <si>
    <t>count</t>
  </si>
  <si>
    <t>Serija</t>
  </si>
  <si>
    <t>Upit (title_and_abstract.search) / filtar</t>
  </si>
  <si>
    <t>Uloga</t>
  </si>
  <si>
    <t>D (dron)</t>
  </si>
  <si>
    <t>(drone OR drones OR UAV OR UAVs OR UAS OR "unmanned aerial" OR "unmanned aircraft" OR RPAS OR "remotely piloted aircraft")</t>
  </si>
  <si>
    <t>sastavni dio</t>
  </si>
  <si>
    <t>E (ekologija/okoliš)</t>
  </si>
  <si>
    <t>(ecology OR ecological OR wildlife OR biodiversity OR "nature conservation" OR "environmental monitoring" OR habitat OR habitats OR ecosystem OR ecosystems OR forest OR forests OR vegetation OR "water quality" OR "air quality" OR "air pollution" OR "greenhouse gas" OR methane OR "protected area" OR wetland OR wetlands OR coastal OR marine OR wildfire)</t>
  </si>
  <si>
    <t>D AND E</t>
  </si>
  <si>
    <t>brojnik</t>
  </si>
  <si>
    <t>E</t>
  </si>
  <si>
    <t>nazivnik 1</t>
  </si>
  <si>
    <t>D</t>
  </si>
  <si>
    <t>kontekst</t>
  </si>
  <si>
    <t>filter primary_topic.field.id:23 (Environmental Science)</t>
  </si>
  <si>
    <t>nazivnik 2</t>
  </si>
  <si>
    <t>bez tekstualnog filtra</t>
  </si>
  <si>
    <t>nazivnik 3</t>
  </si>
  <si>
    <t>D AND (wildlife OR fauna OR bird OR birds OR seabird OR seabirds OR mammal OR mammals OR ungulate OR ungulates OR deer OR elephant OR elephants OR "animal population" OR "population census" OR nest OR nests OR "animal counting" OR "wildlife survey")</t>
  </si>
  <si>
    <t>poddomena</t>
  </si>
  <si>
    <t>D AND (forest OR forests OR forestry OR "bark beetle" OR "tree health" OR canopy OR "tree mortality" OR deforestation OR "forest inventory")</t>
  </si>
  <si>
    <t>D AND ("water quality" OR "algal bloom" OR cyanobacteria OR chlorophyll OR turbidity OR seagrass OR "benthic habitat" OR lake OR lakes OR river OR rivers OR wetland OR wetlands OR coastal OR "coral reef")</t>
  </si>
  <si>
    <t>D AND ("air quality" OR "air pollution" OR methane OR "greenhouse gas" OR "gas emissions" OR landfill OR "particulate matter" OR "gas leak")</t>
  </si>
  <si>
    <t>D AND (wildfire OR wildfires OR "forest fire" OR "forest fires" OR "fire detection" OR "fire monitoring")</t>
  </si>
  <si>
    <t>D AND ("nature conservation" OR "protected area" OR "protected areas" OR "national park" OR biodiversity OR "anti-poaching" OR poaching)</t>
  </si>
  <si>
    <t>D AND E, filter authorships.countries:HR, 2005–2025</t>
  </si>
  <si>
    <t>HR brojnik</t>
  </si>
  <si>
    <t>filter authorships.countries:HR, 2005–2025</t>
  </si>
  <si>
    <t>HR nazivnik</t>
  </si>
  <si>
    <t>Zemlje (authorships.countries), core 2005–2025, top 15</t>
  </si>
  <si>
    <t>Stavka</t>
  </si>
  <si>
    <t>Broj radova</t>
  </si>
  <si>
    <t>China</t>
  </si>
  <si>
    <t>United States</t>
  </si>
  <si>
    <t>United Kingdom</t>
  </si>
  <si>
    <t>Germany</t>
  </si>
  <si>
    <t>India</t>
  </si>
  <si>
    <t>Australia</t>
  </si>
  <si>
    <t>Italy</t>
  </si>
  <si>
    <t>Canada</t>
  </si>
  <si>
    <t>Spain</t>
  </si>
  <si>
    <t>Brazil</t>
  </si>
  <si>
    <t>Japan</t>
  </si>
  <si>
    <t>South Korea</t>
  </si>
  <si>
    <t>France</t>
  </si>
  <si>
    <t>Indonesia</t>
  </si>
  <si>
    <t>Russia</t>
  </si>
  <si>
    <t>Časopisi (primary_location.source), top 15</t>
  </si>
  <si>
    <t>Remote Sensing</t>
  </si>
  <si>
    <t>Drones</t>
  </si>
  <si>
    <t>ISPRS Archives</t>
  </si>
  <si>
    <t>Sensors</t>
  </si>
  <si>
    <t>Forests</t>
  </si>
  <si>
    <t>Computers and Electronics in Agriculture</t>
  </si>
  <si>
    <t>Zenodo</t>
  </si>
  <si>
    <t>International Journal of Remote Sensing</t>
  </si>
  <si>
    <t>Agronomy</t>
  </si>
  <si>
    <t>Frontiers in Plant Science</t>
  </si>
  <si>
    <t>Int. J. Applied Earth Observation and Geoinformation</t>
  </si>
  <si>
    <t>Remote Sensing of Environment</t>
  </si>
  <si>
    <t>Sustainability</t>
  </si>
  <si>
    <t>Scientific Reports</t>
  </si>
  <si>
    <t>IEEE Access</t>
  </si>
  <si>
    <t>Primarno polje (primary_topic.field), top 8</t>
  </si>
  <si>
    <t>Environmental Science</t>
  </si>
  <si>
    <t>Engineering</t>
  </si>
  <si>
    <t>Earth and Planetary Sciences</t>
  </si>
  <si>
    <t>Agricultural and Biological Sciences</t>
  </si>
  <si>
    <t>Computer Science</t>
  </si>
  <si>
    <t>Social Sciences</t>
  </si>
  <si>
    <t>Biochemistry, Genetics and Molecular Biology</t>
  </si>
  <si>
    <t>Medicine</t>
  </si>
  <si>
    <t>Primarna tema (primary_topic), top 10</t>
  </si>
  <si>
    <t>Remote Sensing and LiDAR Applications</t>
  </si>
  <si>
    <t>Remote Sensing in Agriculture</t>
  </si>
  <si>
    <t>UAV Applications and Optimization</t>
  </si>
  <si>
    <t>Smart Agriculture and AI</t>
  </si>
  <si>
    <t>3D Surveying and Cultural Heritage</t>
  </si>
  <si>
    <t>Fire effects on ecosystems</t>
  </si>
  <si>
    <t>Fire Detection and Safety Systems</t>
  </si>
  <si>
    <t>Remote Sensing and Land Use</t>
  </si>
  <si>
    <t>Marine animal studies overview</t>
  </si>
  <si>
    <t>Wildlife Ecology and Conservation</t>
  </si>
  <si>
    <t>Otvoreni pristup</t>
  </si>
  <si>
    <t>OA = true</t>
  </si>
  <si>
    <t>OA = false</t>
  </si>
  <si>
    <t>Citiranost (cited_by_count)</t>
  </si>
  <si>
    <t>&gt; 99 citata</t>
  </si>
  <si>
    <t>&gt; 49 citata</t>
  </si>
  <si>
    <t>&gt; 9 citata</t>
  </si>
  <si>
    <t>ukupno radova (article+review)</t>
  </si>
  <si>
    <t>broj zemalja</t>
  </si>
  <si>
    <t>Izvor: OpenAlex API group_by upiti nad core_drone_env (D AND E), 2005–2025, type:article|review; dohvat 26. 8. 2026.</t>
  </si>
  <si>
    <t>indicator</t>
  </si>
  <si>
    <t>geo</t>
  </si>
  <si>
    <t>value</t>
  </si>
  <si>
    <t>source_note</t>
  </si>
  <si>
    <t>FAA_commercial_new_registrations_per_year</t>
  </si>
  <si>
    <t>US</t>
  </si>
  <si>
    <t>FAA Aerospace Forecast FY2025-2045 UAS compendium: 14,600 new registrations/month in 2018 (x12)</t>
  </si>
  <si>
    <t>FAA: approx. 10,100/month (x12)</t>
  </si>
  <si>
    <t>FAA: 7,850/month (x12)</t>
  </si>
  <si>
    <t>FAA: around 8,500/month (x12)</t>
  </si>
  <si>
    <t>FAA: 8,750/month (x12)</t>
  </si>
  <si>
    <t>FAA: 9,627/month (x12); text says &gt;115,000</t>
  </si>
  <si>
    <t>FAA: 10,370/month (x12); text says &gt;124,000</t>
  </si>
  <si>
    <t>FAA_commercial_cumulative_registrations</t>
  </si>
  <si>
    <t>FAA: cumulative since April 2016</t>
  </si>
  <si>
    <t>FAA_commercial_active_fleet</t>
  </si>
  <si>
    <t>FAA Aerospace Forecast FY2026-2046, base scenario, historical</t>
  </si>
  <si>
    <t>FAA_commercial_active_fleet_forecast_base</t>
  </si>
  <si>
    <t>FAA Aerospace Forecast FY2026-2046, base scenario</t>
  </si>
  <si>
    <t>FAA_remote_pilot_certificates_thousands</t>
  </si>
  <si>
    <t>FAA FY2026-2046</t>
  </si>
  <si>
    <t>AESA_registered_UAS_operators</t>
  </si>
  <si>
    <t>ES</t>
  </si>
  <si>
    <t>AESA press release (derived: 150,332 / 1.26)</t>
  </si>
  <si>
    <t>AESA press release, end of 2025</t>
  </si>
  <si>
    <t>EASA_registered_operators_EU</t>
  </si>
  <si>
    <t>EU</t>
  </si>
  <si>
    <t>EASA press release May 2025: more than two million registered drone operators in Europe</t>
  </si>
  <si>
    <t>HACZ_registered_UAS_operators</t>
  </si>
  <si>
    <t>HR</t>
  </si>
  <si>
    <t>HACZ Godisnje izvjesce o radu za 2024.</t>
  </si>
  <si>
    <t>HACZ_registered_remote_pilots</t>
  </si>
  <si>
    <t>HACZ_specific_category_authorisations</t>
  </si>
  <si>
    <t>Napomena: FAA godišnje vrijednosti = objavljeni mjesečni prosjek × 12 (približno). Eurostat nema vremensku seriju o dronovima (provjereno 26. 8. 2026.).</t>
  </si>
  <si>
    <t>Modeli — broj radova (target = count), 2005–2025</t>
  </si>
  <si>
    <t>model</t>
  </si>
  <si>
    <t>k</t>
  </si>
  <si>
    <t>deviance</t>
  </si>
  <si>
    <t>loglik</t>
  </si>
  <si>
    <t>QAICc</t>
  </si>
  <si>
    <t>weight</t>
  </si>
  <si>
    <t>rmse_log</t>
  </si>
  <si>
    <t>chat_pearson</t>
  </si>
  <si>
    <t>backtest_MAPE</t>
  </si>
  <si>
    <t>backtest_bias</t>
  </si>
  <si>
    <t>parameters</t>
  </si>
  <si>
    <t>exponential</t>
  </si>
  <si>
    <t>a=27.5, b=0.2563 (29.2 %/yr)</t>
  </si>
  <si>
    <t>logistic</t>
  </si>
  <si>
    <t>K=9739, r=0.302, t_mid=2025.9</t>
  </si>
  <si>
    <t>gompertz</t>
  </si>
  <si>
    <t>K=3.745e+06, r=0.031, t_mid=2086.3</t>
  </si>
  <si>
    <t>bass</t>
  </si>
  <si>
    <t>m=8.856e+04, p=0.00018, q=0.294, t_peak=2029.1</t>
  </si>
  <si>
    <t>Modeli — udio (target = share, offset env_only)</t>
  </si>
  <si>
    <t>a=0.00039, b=0.1757 (19.2 %/yr)</t>
  </si>
  <si>
    <t>K=0.01328, r=0.326, t_mid=2019.9</t>
  </si>
  <si>
    <t>K=0.04502, r=0.079, t_mid=2028.7</t>
  </si>
  <si>
    <t>Predviđanje — broj radova godišnje (point, q05, q50, q95 = 90 % NB bootstrap, 1000 replika)</t>
  </si>
  <si>
    <t>horizon_years</t>
  </si>
  <si>
    <t>point</t>
  </si>
  <si>
    <t>q05</t>
  </si>
  <si>
    <t>q50</t>
  </si>
  <si>
    <t>q95</t>
  </si>
  <si>
    <t>qaicc_weight</t>
  </si>
  <si>
    <t>qaicc_average</t>
  </si>
  <si>
    <t>Predviđanje — udio na 1000 radova o okolišu</t>
  </si>
  <si>
    <t>Izlaz skripte drone_env_forecast.m (GNU Octave 8.4, seed 20260826). Ovo su rezultati, ne ulazni podaci; ponovno pokretanje u MATLAB-u daje iste točkaste procjene i neznatno drukčije bootstrap intervale.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</si>
</sst>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9" x14ac:knownFonts="1">
    <font>
      <sz val="11"/>
      <color theme="1"/>
      <name val="Calibri"/>
      <family val="2"/>
      <charset val="1"/>
    </font>
    <font>
      <b/>
      <sz val="11"/>
      <name val="Arial"/>
      <charset val="1"/>
    </font>
    <font>
      <sz val="10"/>
      <name val="Arial"/>
      <charset val="1"/>
    </font>
    <font>
      <b/>
      <sz val="10"/>
      <name val="Arial"/>
      <charset val="1"/>
    </font>
    <font>
      <i/>
      <sz val="9"/>
      <color rgb="FF595959"/>
      <name val="Arial"/>
      <charset val="1"/>
    </font>
    <font>
      <sz val="10"/>
      <color rgb="FF0000FF"/>
      <name val="Arial"/>
      <charset val="1"/>
    </font>
    <font>
      <sz val="10"/>
      <color rgb="FF000000"/>
      <name val="Arial"/>
      <charset val="1"/>
    </font>
    <font>
      <i/>
      <sz val="9"/>
      <name val="Arial"/>
      <charset val="1"/>
    </font>
    <font>
      <sz val="10"/>
      <name val="Arial"/>
      <family val="2"/>
    </font>
  </fonts>
  <fills count="3">
    <fill>
      <patternFill patternType="none"/>
    </fill>
    <fill>
      <patternFill patternType="gray125"/>
    </fill>
    <fill>
      <patternFill patternType="solid">
        <fgColor rgb="FFD9E2F3"/>
        <bgColor rgb="FFCCFFFF"/>
      </patternFill>
    </fill>
  </fills>
  <borders count="2">
    <border>
      <left/>
      <right/>
      <top/>
      <bottom/>
      <diagonal/>
    </border>
    <border>
      <left/>
      <right/>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0" xfId="0" applyFont="1"/>
    <xf numFmtId="1" fontId="5" fillId="0" borderId="0" xfId="0" applyNumberFormat="1" applyFont="1"/>
    <xf numFmtId="3" fontId="5" fillId="0" borderId="0" xfId="0" applyNumberFormat="1" applyFont="1"/>
    <xf numFmtId="2" fontId="6" fillId="0" borderId="0" xfId="0" applyNumberFormat="1" applyFont="1"/>
    <xf numFmtId="164" fontId="6" fillId="0" borderId="0" xfId="0" applyNumberFormat="1" applyFont="1"/>
    <xf numFmtId="0" fontId="3" fillId="0" borderId="0" xfId="0" applyFont="1"/>
    <xf numFmtId="3" fontId="6" fillId="0" borderId="0" xfId="0" applyNumberFormat="1" applyFont="1"/>
    <xf numFmtId="0" fontId="7" fillId="0" borderId="0" xfId="0" applyFont="1"/>
    <xf numFmtId="0" fontId="5" fillId="0" borderId="0" xfId="0" applyFont="1"/>
    <xf numFmtId="0" fontId="2" fillId="0" borderId="0" xfId="0" applyFont="1" applyAlignment="1">
      <alignment vertical="top" wrapText="1"/>
    </xf>
    <xf numFmtId="165" fontId="2" fillId="0" borderId="0" xfId="0" applyNumberFormat="1" applyFont="1"/>
    <xf numFmtId="3" fontId="2" fillId="0" borderId="0" xfId="0" applyNumberFormat="1" applyFont="1"/>
    <xf numFmtId="2" fontId="2" fillId="0" borderId="0" xfId="0" applyNumberFormat="1" applyFont="1"/>
  </cellXfs>
  <cellStyles count="1">
    <cellStyle name="Normalno"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Views>
    <sheetView zoomScaleNormal="100" workbookViewId="0"/>
  </sheetViews>
  <sheetFormatPr defaultColWidth="8.7109375" defaultRowHeight="15" x14ac:dyDescent="0.25"/>
  <cols>
    <col min="1" max="1" width="160"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row>
    <row r="6" spans="1:1" x14ac:dyDescent="0.25">
      <c r="A6" s="1" t="s">
        <v>4</v>
      </c>
    </row>
    <row r="7" spans="1:1" x14ac:dyDescent="0.25">
      <c r="A7" s="2" t="s">
        <v>5</v>
      </c>
    </row>
    <row r="8" spans="1:1" x14ac:dyDescent="0.25">
      <c r="A8" s="2" t="s">
        <v>6</v>
      </c>
    </row>
    <row r="9" spans="1:1" x14ac:dyDescent="0.25">
      <c r="A9" s="2" t="s">
        <v>7</v>
      </c>
    </row>
    <row r="10" spans="1:1" x14ac:dyDescent="0.25">
      <c r="A10" s="2" t="s">
        <v>8</v>
      </c>
    </row>
    <row r="11" spans="1:1" x14ac:dyDescent="0.25">
      <c r="A11" s="2" t="s">
        <v>9</v>
      </c>
    </row>
    <row r="12" spans="1:1" x14ac:dyDescent="0.25">
      <c r="A12" s="2" t="s">
        <v>10</v>
      </c>
    </row>
    <row r="13" spans="1:1" x14ac:dyDescent="0.25">
      <c r="A13" s="2"/>
    </row>
    <row r="14" spans="1:1" x14ac:dyDescent="0.25">
      <c r="A14" s="2" t="s">
        <v>11</v>
      </c>
    </row>
    <row r="15" spans="1:1" x14ac:dyDescent="0.25">
      <c r="A15" s="2" t="s">
        <v>12</v>
      </c>
    </row>
    <row r="16" spans="1:1" x14ac:dyDescent="0.25">
      <c r="A16" s="2"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38"/>
  <sheetViews>
    <sheetView zoomScaleNormal="100" workbookViewId="0">
      <pane xSplit="1" ySplit="2" topLeftCell="B3" activePane="bottomRight" state="frozen"/>
      <selection pane="topRight" activeCell="B1" sqref="B1"/>
      <selection pane="bottomLeft" activeCell="A3" sqref="A3"/>
      <selection pane="bottomRight"/>
    </sheetView>
  </sheetViews>
  <sheetFormatPr defaultColWidth="8.7109375" defaultRowHeight="15" x14ac:dyDescent="0.25"/>
  <cols>
    <col min="1" max="1" width="8" customWidth="1"/>
    <col min="2" max="20" width="15" customWidth="1"/>
  </cols>
  <sheetData>
    <row r="1" spans="1:20" ht="25.5" x14ac:dyDescent="0.25">
      <c r="A1" s="3" t="s">
        <v>14</v>
      </c>
      <c r="B1" s="3" t="s">
        <v>15</v>
      </c>
      <c r="C1" s="3" t="s">
        <v>16</v>
      </c>
      <c r="D1" s="3" t="s">
        <v>17</v>
      </c>
      <c r="E1" s="3" t="s">
        <v>18</v>
      </c>
      <c r="F1" s="3" t="s">
        <v>19</v>
      </c>
      <c r="G1" s="3" t="s">
        <v>20</v>
      </c>
      <c r="H1" s="3" t="s">
        <v>21</v>
      </c>
      <c r="I1" s="3" t="s">
        <v>22</v>
      </c>
      <c r="J1" s="3" t="s">
        <v>23</v>
      </c>
      <c r="K1" s="3" t="s">
        <v>24</v>
      </c>
      <c r="L1" s="3" t="s">
        <v>25</v>
      </c>
      <c r="M1" s="3" t="s">
        <v>26</v>
      </c>
      <c r="N1" s="3" t="s">
        <v>27</v>
      </c>
      <c r="O1" s="3" t="s">
        <v>28</v>
      </c>
      <c r="P1" s="3"/>
      <c r="Q1" s="3" t="s">
        <v>29</v>
      </c>
      <c r="R1" s="3" t="s">
        <v>30</v>
      </c>
      <c r="S1" s="3" t="s">
        <v>31</v>
      </c>
      <c r="T1" s="3" t="s">
        <v>32</v>
      </c>
    </row>
    <row r="2" spans="1:20" x14ac:dyDescent="0.25">
      <c r="A2" s="4" t="s">
        <v>33</v>
      </c>
      <c r="B2" s="4" t="s">
        <v>34</v>
      </c>
      <c r="C2" s="4" t="s">
        <v>34</v>
      </c>
      <c r="D2" s="4" t="s">
        <v>34</v>
      </c>
      <c r="E2" s="4" t="s">
        <v>34</v>
      </c>
      <c r="F2" s="4" t="s">
        <v>34</v>
      </c>
      <c r="G2" s="4" t="s">
        <v>34</v>
      </c>
      <c r="H2" s="4" t="s">
        <v>34</v>
      </c>
      <c r="I2" s="4" t="s">
        <v>34</v>
      </c>
      <c r="J2" s="4" t="s">
        <v>34</v>
      </c>
      <c r="K2" s="4" t="s">
        <v>34</v>
      </c>
      <c r="L2" s="4" t="s">
        <v>34</v>
      </c>
      <c r="M2" s="4" t="s">
        <v>34</v>
      </c>
      <c r="N2" s="4" t="s">
        <v>34</v>
      </c>
      <c r="O2" s="4" t="s">
        <v>35</v>
      </c>
      <c r="P2" s="4"/>
      <c r="Q2" s="4" t="s">
        <v>36</v>
      </c>
      <c r="R2" s="4" t="s">
        <v>37</v>
      </c>
      <c r="S2" s="4" t="s">
        <v>38</v>
      </c>
      <c r="T2" s="4" t="s">
        <v>39</v>
      </c>
    </row>
    <row r="3" spans="1:20" x14ac:dyDescent="0.25">
      <c r="A3" s="5">
        <v>2000</v>
      </c>
      <c r="B3" s="6">
        <v>12</v>
      </c>
      <c r="C3" s="6">
        <v>55124</v>
      </c>
      <c r="D3" s="6">
        <v>560</v>
      </c>
      <c r="E3" s="6">
        <v>114093</v>
      </c>
      <c r="F3" s="6">
        <v>2859065</v>
      </c>
      <c r="G3" s="6">
        <v>6</v>
      </c>
      <c r="H3" s="6">
        <v>5</v>
      </c>
      <c r="I3" s="6">
        <v>8</v>
      </c>
      <c r="J3" s="6">
        <v>0</v>
      </c>
      <c r="K3" s="6">
        <v>0</v>
      </c>
      <c r="L3" s="6">
        <v>1</v>
      </c>
      <c r="M3" s="6">
        <v>0</v>
      </c>
      <c r="N3" s="6">
        <v>0</v>
      </c>
      <c r="O3" s="6">
        <v>1</v>
      </c>
      <c r="Q3" s="7">
        <f t="shared" ref="Q3:Q29" si="0">IF(C3&gt;0,B3/C3*1000,"")</f>
        <v>0.21769102387344896</v>
      </c>
      <c r="R3" s="8">
        <f t="shared" ref="R3:R29" si="1">IF(D3&gt;0,B3/D3,"")</f>
        <v>2.1428571428571429E-2</v>
      </c>
      <c r="S3" s="8"/>
      <c r="T3" s="7">
        <f t="shared" ref="T3:T29" si="2">IF(E3&gt;0,B3/E3*1000,"")</f>
        <v>0.10517735531540059</v>
      </c>
    </row>
    <row r="4" spans="1:20" x14ac:dyDescent="0.25">
      <c r="A4" s="5">
        <v>2001</v>
      </c>
      <c r="B4" s="6">
        <v>16</v>
      </c>
      <c r="C4" s="6">
        <v>56414</v>
      </c>
      <c r="D4" s="6">
        <v>585</v>
      </c>
      <c r="E4" s="6">
        <v>103332</v>
      </c>
      <c r="F4" s="6">
        <v>2818431</v>
      </c>
      <c r="G4" s="6">
        <v>12</v>
      </c>
      <c r="H4" s="6">
        <v>9</v>
      </c>
      <c r="I4" s="6">
        <v>8</v>
      </c>
      <c r="J4" s="6">
        <v>0</v>
      </c>
      <c r="K4" s="6">
        <v>1</v>
      </c>
      <c r="L4" s="6">
        <v>0</v>
      </c>
      <c r="M4" s="6">
        <v>0</v>
      </c>
      <c r="N4" s="6">
        <v>0</v>
      </c>
      <c r="O4" s="6">
        <v>1</v>
      </c>
      <c r="Q4" s="7">
        <f t="shared" si="0"/>
        <v>0.28361754174495696</v>
      </c>
      <c r="R4" s="8">
        <f t="shared" si="1"/>
        <v>2.735042735042735E-2</v>
      </c>
      <c r="S4" s="8">
        <f t="shared" ref="S4:S29" si="3">IF(B3&gt;0,B4/B3-1,"")</f>
        <v>0.33333333333333326</v>
      </c>
      <c r="T4" s="7">
        <f t="shared" si="2"/>
        <v>0.15484070762203384</v>
      </c>
    </row>
    <row r="5" spans="1:20" x14ac:dyDescent="0.25">
      <c r="A5" s="5">
        <v>2002</v>
      </c>
      <c r="B5" s="6">
        <v>14</v>
      </c>
      <c r="C5" s="6">
        <v>61900</v>
      </c>
      <c r="D5" s="6">
        <v>632</v>
      </c>
      <c r="E5" s="6">
        <v>113747</v>
      </c>
      <c r="F5" s="6">
        <v>3050120</v>
      </c>
      <c r="G5" s="6">
        <v>9</v>
      </c>
      <c r="H5" s="6">
        <v>4</v>
      </c>
      <c r="I5" s="6">
        <v>4</v>
      </c>
      <c r="J5" s="6">
        <v>1</v>
      </c>
      <c r="K5" s="6">
        <v>1</v>
      </c>
      <c r="L5" s="6">
        <v>1</v>
      </c>
      <c r="M5" s="6">
        <v>0</v>
      </c>
      <c r="N5" s="6">
        <v>0</v>
      </c>
      <c r="O5" s="6">
        <v>1</v>
      </c>
      <c r="Q5" s="7">
        <f t="shared" si="0"/>
        <v>0.22617124394184168</v>
      </c>
      <c r="R5" s="8">
        <f t="shared" si="1"/>
        <v>2.2151898734177215E-2</v>
      </c>
      <c r="S5" s="8">
        <f t="shared" si="3"/>
        <v>-0.125</v>
      </c>
      <c r="T5" s="7">
        <f t="shared" si="2"/>
        <v>0.12308016914731816</v>
      </c>
    </row>
    <row r="6" spans="1:20" x14ac:dyDescent="0.25">
      <c r="A6" s="5">
        <v>2003</v>
      </c>
      <c r="B6" s="6">
        <v>18</v>
      </c>
      <c r="C6" s="6">
        <v>68251</v>
      </c>
      <c r="D6" s="6">
        <v>747</v>
      </c>
      <c r="E6" s="6">
        <v>124358</v>
      </c>
      <c r="F6" s="6">
        <v>3336963</v>
      </c>
      <c r="G6" s="6">
        <v>11</v>
      </c>
      <c r="H6" s="6">
        <v>8</v>
      </c>
      <c r="I6" s="6">
        <v>11</v>
      </c>
      <c r="J6" s="6">
        <v>2</v>
      </c>
      <c r="K6" s="6">
        <v>1</v>
      </c>
      <c r="L6" s="6">
        <v>0</v>
      </c>
      <c r="M6" s="6">
        <v>0</v>
      </c>
      <c r="N6" s="6">
        <v>0</v>
      </c>
      <c r="O6" s="6">
        <v>1</v>
      </c>
      <c r="Q6" s="7">
        <f t="shared" si="0"/>
        <v>0.26373239952528171</v>
      </c>
      <c r="R6" s="8">
        <f t="shared" si="1"/>
        <v>2.4096385542168676E-2</v>
      </c>
      <c r="S6" s="8">
        <f t="shared" si="3"/>
        <v>0.28571428571428581</v>
      </c>
      <c r="T6" s="7">
        <f t="shared" si="2"/>
        <v>0.14474340211325365</v>
      </c>
    </row>
    <row r="7" spans="1:20" x14ac:dyDescent="0.25">
      <c r="A7" s="5">
        <v>2004</v>
      </c>
      <c r="B7" s="6">
        <v>22</v>
      </c>
      <c r="C7" s="6">
        <v>74751</v>
      </c>
      <c r="D7" s="6">
        <v>976</v>
      </c>
      <c r="E7" s="6">
        <v>133188</v>
      </c>
      <c r="F7" s="6">
        <v>3609553</v>
      </c>
      <c r="G7" s="6">
        <v>21</v>
      </c>
      <c r="H7" s="6">
        <v>10</v>
      </c>
      <c r="I7" s="6">
        <v>8</v>
      </c>
      <c r="J7" s="6">
        <v>1</v>
      </c>
      <c r="K7" s="6">
        <v>1</v>
      </c>
      <c r="L7" s="6">
        <v>2</v>
      </c>
      <c r="M7" s="6">
        <v>0</v>
      </c>
      <c r="N7" s="6">
        <v>0</v>
      </c>
      <c r="O7" s="6">
        <v>1</v>
      </c>
      <c r="Q7" s="7">
        <f t="shared" si="0"/>
        <v>0.294310444007438</v>
      </c>
      <c r="R7" s="8">
        <f t="shared" si="1"/>
        <v>2.2540983606557378E-2</v>
      </c>
      <c r="S7" s="8">
        <f t="shared" si="3"/>
        <v>0.22222222222222232</v>
      </c>
      <c r="T7" s="7">
        <f t="shared" si="2"/>
        <v>0.16518004625041294</v>
      </c>
    </row>
    <row r="8" spans="1:20" x14ac:dyDescent="0.25">
      <c r="A8" s="5">
        <v>2005</v>
      </c>
      <c r="B8" s="6">
        <v>28</v>
      </c>
      <c r="C8" s="6">
        <v>82429</v>
      </c>
      <c r="D8" s="6">
        <v>967</v>
      </c>
      <c r="E8" s="6">
        <v>146190</v>
      </c>
      <c r="F8" s="6">
        <v>3845572</v>
      </c>
      <c r="G8" s="6">
        <v>19</v>
      </c>
      <c r="H8" s="6">
        <v>10</v>
      </c>
      <c r="I8" s="6">
        <v>9</v>
      </c>
      <c r="J8" s="6">
        <v>0</v>
      </c>
      <c r="K8" s="6">
        <v>2</v>
      </c>
      <c r="L8" s="6">
        <v>4</v>
      </c>
      <c r="M8" s="6">
        <v>0</v>
      </c>
      <c r="N8" s="6">
        <v>3176</v>
      </c>
      <c r="O8" s="6">
        <v>1</v>
      </c>
      <c r="Q8" s="7">
        <f t="shared" si="0"/>
        <v>0.33968627546130609</v>
      </c>
      <c r="R8" s="8">
        <f t="shared" si="1"/>
        <v>2.8955532574974147E-2</v>
      </c>
      <c r="S8" s="8">
        <f t="shared" si="3"/>
        <v>0.27272727272727271</v>
      </c>
      <c r="T8" s="7">
        <f t="shared" si="2"/>
        <v>0.1915315685067378</v>
      </c>
    </row>
    <row r="9" spans="1:20" x14ac:dyDescent="0.25">
      <c r="A9" s="5">
        <v>2006</v>
      </c>
      <c r="B9" s="6">
        <v>37</v>
      </c>
      <c r="C9" s="6">
        <v>91508</v>
      </c>
      <c r="D9" s="6">
        <v>1134</v>
      </c>
      <c r="E9" s="6">
        <v>160355</v>
      </c>
      <c r="F9" s="6">
        <v>4178171</v>
      </c>
      <c r="G9" s="6">
        <v>12</v>
      </c>
      <c r="H9" s="6">
        <v>16</v>
      </c>
      <c r="I9" s="6">
        <v>7</v>
      </c>
      <c r="J9" s="6">
        <v>1</v>
      </c>
      <c r="K9" s="6">
        <v>14</v>
      </c>
      <c r="L9" s="6">
        <v>2</v>
      </c>
      <c r="M9" s="6">
        <v>0</v>
      </c>
      <c r="N9" s="6">
        <v>3835</v>
      </c>
      <c r="O9" s="6">
        <v>1</v>
      </c>
      <c r="Q9" s="7">
        <f t="shared" si="0"/>
        <v>0.40433623289767018</v>
      </c>
      <c r="R9" s="8">
        <f t="shared" si="1"/>
        <v>3.2627865961199293E-2</v>
      </c>
      <c r="S9" s="8">
        <f t="shared" si="3"/>
        <v>0.3214285714285714</v>
      </c>
      <c r="T9" s="7">
        <f t="shared" si="2"/>
        <v>0.23073804995166972</v>
      </c>
    </row>
    <row r="10" spans="1:20" x14ac:dyDescent="0.25">
      <c r="A10" s="5">
        <v>2007</v>
      </c>
      <c r="B10" s="6">
        <v>43</v>
      </c>
      <c r="C10" s="6">
        <v>100554</v>
      </c>
      <c r="D10" s="6">
        <v>1302</v>
      </c>
      <c r="E10" s="6">
        <v>171031</v>
      </c>
      <c r="F10" s="6">
        <v>4420227</v>
      </c>
      <c r="G10" s="6">
        <v>25</v>
      </c>
      <c r="H10" s="6">
        <v>17</v>
      </c>
      <c r="I10" s="6">
        <v>10</v>
      </c>
      <c r="J10" s="6">
        <v>8</v>
      </c>
      <c r="K10" s="6">
        <v>8</v>
      </c>
      <c r="L10" s="6">
        <v>1</v>
      </c>
      <c r="M10" s="6">
        <v>0</v>
      </c>
      <c r="N10" s="6">
        <v>4755</v>
      </c>
      <c r="O10" s="6">
        <v>1</v>
      </c>
      <c r="Q10" s="7">
        <f t="shared" si="0"/>
        <v>0.42763092467728786</v>
      </c>
      <c r="R10" s="8">
        <f t="shared" si="1"/>
        <v>3.3026113671274962E-2</v>
      </c>
      <c r="S10" s="8">
        <f t="shared" si="3"/>
        <v>0.16216216216216206</v>
      </c>
      <c r="T10" s="7">
        <f t="shared" si="2"/>
        <v>0.2514164098906046</v>
      </c>
    </row>
    <row r="11" spans="1:20" x14ac:dyDescent="0.25">
      <c r="A11" s="5">
        <v>2008</v>
      </c>
      <c r="B11" s="6">
        <v>44</v>
      </c>
      <c r="C11" s="6">
        <v>110150</v>
      </c>
      <c r="D11" s="6">
        <v>1465</v>
      </c>
      <c r="E11" s="6">
        <v>184773</v>
      </c>
      <c r="F11" s="6">
        <v>4844941</v>
      </c>
      <c r="G11" s="6">
        <v>17</v>
      </c>
      <c r="H11" s="6">
        <v>7</v>
      </c>
      <c r="I11" s="6">
        <v>6</v>
      </c>
      <c r="J11" s="6">
        <v>2</v>
      </c>
      <c r="K11" s="6">
        <v>12</v>
      </c>
      <c r="L11" s="6">
        <v>1</v>
      </c>
      <c r="M11" s="6">
        <v>0</v>
      </c>
      <c r="N11" s="6">
        <v>6456</v>
      </c>
      <c r="O11" s="6">
        <v>1</v>
      </c>
      <c r="Q11" s="7">
        <f t="shared" si="0"/>
        <v>0.39945528824330462</v>
      </c>
      <c r="R11" s="8">
        <f t="shared" si="1"/>
        <v>3.0034129692832763E-2</v>
      </c>
      <c r="S11" s="8">
        <f t="shared" si="3"/>
        <v>2.3255813953488413E-2</v>
      </c>
      <c r="T11" s="7">
        <f t="shared" si="2"/>
        <v>0.23813002982037421</v>
      </c>
    </row>
    <row r="12" spans="1:20" x14ac:dyDescent="0.25">
      <c r="A12" s="5">
        <v>2009</v>
      </c>
      <c r="B12" s="6">
        <v>55</v>
      </c>
      <c r="C12" s="6">
        <v>120571</v>
      </c>
      <c r="D12" s="6">
        <v>1694</v>
      </c>
      <c r="E12" s="6">
        <v>202040</v>
      </c>
      <c r="F12" s="6">
        <v>5126531</v>
      </c>
      <c r="G12" s="6">
        <v>23</v>
      </c>
      <c r="H12" s="6">
        <v>21</v>
      </c>
      <c r="I12" s="6">
        <v>15</v>
      </c>
      <c r="J12" s="6">
        <v>3</v>
      </c>
      <c r="K12" s="6">
        <v>11</v>
      </c>
      <c r="L12" s="6">
        <v>1</v>
      </c>
      <c r="M12" s="6">
        <v>0</v>
      </c>
      <c r="N12" s="6">
        <v>7275</v>
      </c>
      <c r="O12" s="6">
        <v>1</v>
      </c>
      <c r="Q12" s="7">
        <f t="shared" si="0"/>
        <v>0.45616275887236563</v>
      </c>
      <c r="R12" s="8">
        <f t="shared" si="1"/>
        <v>3.2467532467532464E-2</v>
      </c>
      <c r="S12" s="8">
        <f t="shared" si="3"/>
        <v>0.25</v>
      </c>
      <c r="T12" s="7">
        <f t="shared" si="2"/>
        <v>0.27222332211443279</v>
      </c>
    </row>
    <row r="13" spans="1:20" x14ac:dyDescent="0.25">
      <c r="A13" s="5">
        <v>2010</v>
      </c>
      <c r="B13" s="6">
        <v>55</v>
      </c>
      <c r="C13" s="6">
        <v>132122</v>
      </c>
      <c r="D13" s="6">
        <v>1904</v>
      </c>
      <c r="E13" s="6">
        <v>217628</v>
      </c>
      <c r="F13" s="6">
        <v>5415093</v>
      </c>
      <c r="G13" s="6">
        <v>27</v>
      </c>
      <c r="H13" s="6">
        <v>14</v>
      </c>
      <c r="I13" s="6">
        <v>23</v>
      </c>
      <c r="J13" s="6">
        <v>7</v>
      </c>
      <c r="K13" s="6">
        <v>8</v>
      </c>
      <c r="L13" s="6">
        <v>3</v>
      </c>
      <c r="M13" s="6">
        <v>0</v>
      </c>
      <c r="N13" s="6">
        <v>7775</v>
      </c>
      <c r="O13" s="6">
        <v>1</v>
      </c>
      <c r="Q13" s="7">
        <f t="shared" si="0"/>
        <v>0.41628192125459801</v>
      </c>
      <c r="R13" s="8">
        <f t="shared" si="1"/>
        <v>2.8886554621848741E-2</v>
      </c>
      <c r="S13" s="8">
        <f t="shared" si="3"/>
        <v>0</v>
      </c>
      <c r="T13" s="7">
        <f t="shared" si="2"/>
        <v>0.2527248332016101</v>
      </c>
    </row>
    <row r="14" spans="1:20" x14ac:dyDescent="0.25">
      <c r="A14" s="5">
        <v>2011</v>
      </c>
      <c r="B14" s="6">
        <v>75</v>
      </c>
      <c r="C14" s="6">
        <v>140872</v>
      </c>
      <c r="D14" s="6">
        <v>2194</v>
      </c>
      <c r="E14" s="6">
        <v>227361</v>
      </c>
      <c r="F14" s="6">
        <v>5684721</v>
      </c>
      <c r="G14" s="6">
        <v>27</v>
      </c>
      <c r="H14" s="6">
        <v>19</v>
      </c>
      <c r="I14" s="6">
        <v>22</v>
      </c>
      <c r="J14" s="6">
        <v>4</v>
      </c>
      <c r="K14" s="6">
        <v>9</v>
      </c>
      <c r="L14" s="6">
        <v>4</v>
      </c>
      <c r="M14" s="6">
        <v>0</v>
      </c>
      <c r="N14" s="6">
        <v>8367</v>
      </c>
      <c r="O14" s="6">
        <v>1</v>
      </c>
      <c r="Q14" s="7">
        <f t="shared" si="0"/>
        <v>0.53239820546311545</v>
      </c>
      <c r="R14" s="8">
        <f t="shared" si="1"/>
        <v>3.4184138559708296E-2</v>
      </c>
      <c r="S14" s="8">
        <f t="shared" si="3"/>
        <v>0.36363636363636354</v>
      </c>
      <c r="T14" s="7">
        <f t="shared" si="2"/>
        <v>0.32987187776267696</v>
      </c>
    </row>
    <row r="15" spans="1:20" x14ac:dyDescent="0.25">
      <c r="A15" s="5">
        <v>2012</v>
      </c>
      <c r="B15" s="6">
        <v>105</v>
      </c>
      <c r="C15" s="6">
        <v>151365</v>
      </c>
      <c r="D15" s="6">
        <v>2763</v>
      </c>
      <c r="E15" s="6">
        <v>242276</v>
      </c>
      <c r="F15" s="6">
        <v>5916987</v>
      </c>
      <c r="G15" s="6">
        <v>33</v>
      </c>
      <c r="H15" s="6">
        <v>29</v>
      </c>
      <c r="I15" s="6">
        <v>39</v>
      </c>
      <c r="J15" s="6">
        <v>11</v>
      </c>
      <c r="K15" s="6">
        <v>9</v>
      </c>
      <c r="L15" s="6">
        <v>4</v>
      </c>
      <c r="M15" s="6">
        <v>0</v>
      </c>
      <c r="N15" s="6">
        <v>8778</v>
      </c>
      <c r="O15" s="6">
        <v>1</v>
      </c>
      <c r="Q15" s="7">
        <f t="shared" si="0"/>
        <v>0.69368744425725892</v>
      </c>
      <c r="R15" s="8">
        <f t="shared" si="1"/>
        <v>3.8002171552660155E-2</v>
      </c>
      <c r="S15" s="8">
        <f t="shared" si="3"/>
        <v>0.39999999999999991</v>
      </c>
      <c r="T15" s="7">
        <f t="shared" si="2"/>
        <v>0.43339001799600457</v>
      </c>
    </row>
    <row r="16" spans="1:20" x14ac:dyDescent="0.25">
      <c r="A16" s="5">
        <v>2013</v>
      </c>
      <c r="B16" s="6">
        <v>157</v>
      </c>
      <c r="C16" s="6">
        <v>163293</v>
      </c>
      <c r="D16" s="6">
        <v>3478</v>
      </c>
      <c r="E16" s="6">
        <v>256633</v>
      </c>
      <c r="F16" s="6">
        <v>6187616</v>
      </c>
      <c r="G16" s="6">
        <v>60</v>
      </c>
      <c r="H16" s="6">
        <v>55</v>
      </c>
      <c r="I16" s="6">
        <v>64</v>
      </c>
      <c r="J16" s="6">
        <v>13</v>
      </c>
      <c r="K16" s="6">
        <v>9</v>
      </c>
      <c r="L16" s="6">
        <v>12</v>
      </c>
      <c r="M16" s="6">
        <v>0</v>
      </c>
      <c r="N16" s="6">
        <v>8803</v>
      </c>
      <c r="O16" s="6">
        <v>1</v>
      </c>
      <c r="Q16" s="7">
        <f t="shared" si="0"/>
        <v>0.9614619120231731</v>
      </c>
      <c r="R16" s="8">
        <f t="shared" si="1"/>
        <v>4.5140885566417481E-2</v>
      </c>
      <c r="S16" s="8">
        <f t="shared" si="3"/>
        <v>0.49523809523809526</v>
      </c>
      <c r="T16" s="7">
        <f t="shared" si="2"/>
        <v>0.61176855665483398</v>
      </c>
    </row>
    <row r="17" spans="1:20" x14ac:dyDescent="0.25">
      <c r="A17" s="5">
        <v>2014</v>
      </c>
      <c r="B17" s="6">
        <v>185</v>
      </c>
      <c r="C17" s="6">
        <v>169824</v>
      </c>
      <c r="D17" s="6">
        <v>3948</v>
      </c>
      <c r="E17" s="6">
        <v>265087</v>
      </c>
      <c r="F17" s="6">
        <v>6383216</v>
      </c>
      <c r="G17" s="6">
        <v>56</v>
      </c>
      <c r="H17" s="6">
        <v>62</v>
      </c>
      <c r="I17" s="6">
        <v>82</v>
      </c>
      <c r="J17" s="6">
        <v>9</v>
      </c>
      <c r="K17" s="6">
        <v>12</v>
      </c>
      <c r="L17" s="6">
        <v>16</v>
      </c>
      <c r="M17" s="6">
        <v>0</v>
      </c>
      <c r="N17" s="6">
        <v>9278</v>
      </c>
      <c r="O17" s="6">
        <v>1</v>
      </c>
      <c r="Q17" s="7">
        <f t="shared" si="0"/>
        <v>1.0893631053325796</v>
      </c>
      <c r="R17" s="8">
        <f t="shared" si="1"/>
        <v>4.6859169199594729E-2</v>
      </c>
      <c r="S17" s="8">
        <f t="shared" si="3"/>
        <v>0.17834394904458595</v>
      </c>
      <c r="T17" s="7">
        <f t="shared" si="2"/>
        <v>0.69788409088337033</v>
      </c>
    </row>
    <row r="18" spans="1:20" x14ac:dyDescent="0.25">
      <c r="A18" s="5">
        <v>2015</v>
      </c>
      <c r="B18" s="6">
        <v>330</v>
      </c>
      <c r="C18" s="6">
        <v>170288</v>
      </c>
      <c r="D18" s="6">
        <v>4811</v>
      </c>
      <c r="E18" s="6">
        <v>261721</v>
      </c>
      <c r="F18" s="6">
        <v>6450528</v>
      </c>
      <c r="G18" s="6">
        <v>100</v>
      </c>
      <c r="H18" s="6">
        <v>114</v>
      </c>
      <c r="I18" s="6">
        <v>126</v>
      </c>
      <c r="J18" s="6">
        <v>28</v>
      </c>
      <c r="K18" s="6">
        <v>25</v>
      </c>
      <c r="L18" s="6">
        <v>33</v>
      </c>
      <c r="M18" s="6">
        <v>0</v>
      </c>
      <c r="N18" s="6">
        <v>9386</v>
      </c>
      <c r="O18" s="6">
        <v>1</v>
      </c>
      <c r="Q18" s="7">
        <f t="shared" si="0"/>
        <v>1.9378934510946162</v>
      </c>
      <c r="R18" s="8">
        <f t="shared" si="1"/>
        <v>6.8592808147994178E-2</v>
      </c>
      <c r="S18" s="8">
        <f t="shared" si="3"/>
        <v>0.78378378378378377</v>
      </c>
      <c r="T18" s="7">
        <f t="shared" si="2"/>
        <v>1.2608846825436248</v>
      </c>
    </row>
    <row r="19" spans="1:20" x14ac:dyDescent="0.25">
      <c r="A19" s="5">
        <v>2016</v>
      </c>
      <c r="B19" s="6">
        <v>507</v>
      </c>
      <c r="C19" s="6">
        <v>170654</v>
      </c>
      <c r="D19" s="6">
        <v>5887</v>
      </c>
      <c r="E19" s="6">
        <v>258974</v>
      </c>
      <c r="F19" s="6">
        <v>6461027</v>
      </c>
      <c r="G19" s="6">
        <v>100</v>
      </c>
      <c r="H19" s="6">
        <v>178</v>
      </c>
      <c r="I19" s="6">
        <v>185</v>
      </c>
      <c r="J19" s="6">
        <v>32</v>
      </c>
      <c r="K19" s="6">
        <v>26</v>
      </c>
      <c r="L19" s="6">
        <v>28</v>
      </c>
      <c r="M19" s="6">
        <v>2</v>
      </c>
      <c r="N19" s="6">
        <v>10105</v>
      </c>
      <c r="O19" s="6">
        <v>1</v>
      </c>
      <c r="Q19" s="7">
        <f t="shared" si="0"/>
        <v>2.9709236232376623</v>
      </c>
      <c r="R19" s="8">
        <f t="shared" si="1"/>
        <v>8.612196364871752E-2</v>
      </c>
      <c r="S19" s="8">
        <f t="shared" si="3"/>
        <v>0.53636363636363638</v>
      </c>
      <c r="T19" s="7">
        <f t="shared" si="2"/>
        <v>1.9577254859561191</v>
      </c>
    </row>
    <row r="20" spans="1:20" x14ac:dyDescent="0.25">
      <c r="A20" s="5">
        <v>2017</v>
      </c>
      <c r="B20" s="6">
        <v>642</v>
      </c>
      <c r="C20" s="6">
        <v>171857</v>
      </c>
      <c r="D20" s="6">
        <v>6516</v>
      </c>
      <c r="E20" s="6">
        <v>253576</v>
      </c>
      <c r="F20" s="6">
        <v>6145813</v>
      </c>
      <c r="G20" s="6">
        <v>123</v>
      </c>
      <c r="H20" s="6">
        <v>258</v>
      </c>
      <c r="I20" s="6">
        <v>277</v>
      </c>
      <c r="J20" s="6">
        <v>55</v>
      </c>
      <c r="K20" s="6">
        <v>18</v>
      </c>
      <c r="L20" s="6">
        <v>38</v>
      </c>
      <c r="M20" s="6">
        <v>1</v>
      </c>
      <c r="N20" s="6">
        <v>9870</v>
      </c>
      <c r="O20" s="6">
        <v>1</v>
      </c>
      <c r="Q20" s="7">
        <f t="shared" si="0"/>
        <v>3.7356639531703681</v>
      </c>
      <c r="R20" s="8">
        <f t="shared" si="1"/>
        <v>9.8526703499079188E-2</v>
      </c>
      <c r="S20" s="8">
        <f t="shared" si="3"/>
        <v>0.26627218934911245</v>
      </c>
      <c r="T20" s="7">
        <f t="shared" si="2"/>
        <v>2.5317853424614314</v>
      </c>
    </row>
    <row r="21" spans="1:20" x14ac:dyDescent="0.25">
      <c r="A21" s="5">
        <v>2018</v>
      </c>
      <c r="B21" s="6">
        <v>906</v>
      </c>
      <c r="C21" s="6">
        <v>182993</v>
      </c>
      <c r="D21" s="6">
        <v>8076</v>
      </c>
      <c r="E21" s="6">
        <v>261409</v>
      </c>
      <c r="F21" s="6">
        <v>5995254</v>
      </c>
      <c r="G21" s="6">
        <v>181</v>
      </c>
      <c r="H21" s="6">
        <v>358</v>
      </c>
      <c r="I21" s="6">
        <v>324</v>
      </c>
      <c r="J21" s="6">
        <v>70</v>
      </c>
      <c r="K21" s="6">
        <v>45</v>
      </c>
      <c r="L21" s="6">
        <v>55</v>
      </c>
      <c r="M21" s="6">
        <v>1</v>
      </c>
      <c r="N21" s="6">
        <v>10719</v>
      </c>
      <c r="O21" s="6">
        <v>1</v>
      </c>
      <c r="Q21" s="7">
        <f t="shared" si="0"/>
        <v>4.9510090549911752</v>
      </c>
      <c r="R21" s="8">
        <f t="shared" si="1"/>
        <v>0.11218424962852898</v>
      </c>
      <c r="S21" s="8">
        <f t="shared" si="3"/>
        <v>0.41121495327102808</v>
      </c>
      <c r="T21" s="7">
        <f t="shared" si="2"/>
        <v>3.4658332345099061</v>
      </c>
    </row>
    <row r="22" spans="1:20" x14ac:dyDescent="0.25">
      <c r="A22" s="5">
        <v>2019</v>
      </c>
      <c r="B22" s="6">
        <v>1248</v>
      </c>
      <c r="C22" s="6">
        <v>200053</v>
      </c>
      <c r="D22" s="6">
        <v>9779</v>
      </c>
      <c r="E22" s="6">
        <v>272075</v>
      </c>
      <c r="F22" s="6">
        <v>6258798</v>
      </c>
      <c r="G22" s="6">
        <v>209</v>
      </c>
      <c r="H22" s="6">
        <v>537</v>
      </c>
      <c r="I22" s="6">
        <v>441</v>
      </c>
      <c r="J22" s="6">
        <v>79</v>
      </c>
      <c r="K22" s="6">
        <v>56</v>
      </c>
      <c r="L22" s="6">
        <v>79</v>
      </c>
      <c r="M22" s="6">
        <v>5</v>
      </c>
      <c r="N22" s="6">
        <v>10229</v>
      </c>
      <c r="O22" s="6">
        <v>1</v>
      </c>
      <c r="Q22" s="7">
        <f t="shared" si="0"/>
        <v>6.2383468380879066</v>
      </c>
      <c r="R22" s="8">
        <f t="shared" si="1"/>
        <v>0.12762041108497801</v>
      </c>
      <c r="S22" s="8">
        <f t="shared" si="3"/>
        <v>0.3774834437086092</v>
      </c>
      <c r="T22" s="7">
        <f t="shared" si="2"/>
        <v>4.5869705044564917</v>
      </c>
    </row>
    <row r="23" spans="1:20" x14ac:dyDescent="0.25">
      <c r="A23" s="5">
        <v>2020</v>
      </c>
      <c r="B23" s="6">
        <v>1596</v>
      </c>
      <c r="C23" s="6">
        <v>226619</v>
      </c>
      <c r="D23" s="6">
        <v>11394</v>
      </c>
      <c r="E23" s="6">
        <v>287808</v>
      </c>
      <c r="F23" s="6">
        <v>6602263</v>
      </c>
      <c r="G23" s="6">
        <v>234</v>
      </c>
      <c r="H23" s="6">
        <v>686</v>
      </c>
      <c r="I23" s="6">
        <v>592</v>
      </c>
      <c r="J23" s="6">
        <v>119</v>
      </c>
      <c r="K23" s="6">
        <v>85</v>
      </c>
      <c r="L23" s="6">
        <v>98</v>
      </c>
      <c r="M23" s="6">
        <v>5</v>
      </c>
      <c r="N23" s="6">
        <v>11037</v>
      </c>
      <c r="O23" s="6">
        <v>1</v>
      </c>
      <c r="Q23" s="7">
        <f t="shared" si="0"/>
        <v>7.042657500033096</v>
      </c>
      <c r="R23" s="8">
        <f t="shared" si="1"/>
        <v>0.14007372301211163</v>
      </c>
      <c r="S23" s="8">
        <f t="shared" si="3"/>
        <v>0.27884615384615374</v>
      </c>
      <c r="T23" s="7">
        <f t="shared" si="2"/>
        <v>5.5453635757171451</v>
      </c>
    </row>
    <row r="24" spans="1:20" x14ac:dyDescent="0.25">
      <c r="A24" s="5">
        <v>2021</v>
      </c>
      <c r="B24" s="6">
        <v>1959</v>
      </c>
      <c r="C24" s="6">
        <v>242227</v>
      </c>
      <c r="D24" s="6">
        <v>12500</v>
      </c>
      <c r="E24" s="6">
        <v>286429</v>
      </c>
      <c r="F24" s="6">
        <v>6126873</v>
      </c>
      <c r="G24" s="6">
        <v>313</v>
      </c>
      <c r="H24" s="6">
        <v>872</v>
      </c>
      <c r="I24" s="6">
        <v>674</v>
      </c>
      <c r="J24" s="6">
        <v>129</v>
      </c>
      <c r="K24" s="6">
        <v>108</v>
      </c>
      <c r="L24" s="6">
        <v>123</v>
      </c>
      <c r="M24" s="6">
        <v>9</v>
      </c>
      <c r="N24" s="6">
        <v>11502</v>
      </c>
      <c r="O24" s="6">
        <v>1</v>
      </c>
      <c r="Q24" s="7">
        <f t="shared" si="0"/>
        <v>8.0874551557010559</v>
      </c>
      <c r="R24" s="8">
        <f t="shared" si="1"/>
        <v>0.15672</v>
      </c>
      <c r="S24" s="8">
        <f t="shared" si="3"/>
        <v>0.22744360902255645</v>
      </c>
      <c r="T24" s="7">
        <f t="shared" si="2"/>
        <v>6.839391262756215</v>
      </c>
    </row>
    <row r="25" spans="1:20" x14ac:dyDescent="0.25">
      <c r="A25" s="5">
        <v>2022</v>
      </c>
      <c r="B25" s="6">
        <v>2106</v>
      </c>
      <c r="C25" s="6">
        <v>244570</v>
      </c>
      <c r="D25" s="6">
        <v>13379</v>
      </c>
      <c r="E25" s="6">
        <v>274473</v>
      </c>
      <c r="F25" s="6">
        <v>5606541</v>
      </c>
      <c r="G25" s="6">
        <v>312</v>
      </c>
      <c r="H25" s="6">
        <v>1030</v>
      </c>
      <c r="I25" s="6">
        <v>731</v>
      </c>
      <c r="J25" s="6">
        <v>148</v>
      </c>
      <c r="K25" s="6">
        <v>132</v>
      </c>
      <c r="L25" s="6">
        <v>117</v>
      </c>
      <c r="M25" s="6">
        <v>8</v>
      </c>
      <c r="N25" s="6">
        <v>11531</v>
      </c>
      <c r="O25" s="6">
        <v>1</v>
      </c>
      <c r="Q25" s="7">
        <f t="shared" si="0"/>
        <v>8.6110316064930288</v>
      </c>
      <c r="R25" s="8">
        <f t="shared" si="1"/>
        <v>0.15741086777786081</v>
      </c>
      <c r="S25" s="8">
        <f t="shared" si="3"/>
        <v>7.5038284839203717E-2</v>
      </c>
      <c r="T25" s="7">
        <f t="shared" si="2"/>
        <v>7.6728858576253405</v>
      </c>
    </row>
    <row r="26" spans="1:20" x14ac:dyDescent="0.25">
      <c r="A26" s="5">
        <v>2023</v>
      </c>
      <c r="B26" s="6">
        <v>2369</v>
      </c>
      <c r="C26" s="6">
        <v>260652</v>
      </c>
      <c r="D26" s="6">
        <v>15001</v>
      </c>
      <c r="E26" s="6">
        <v>284270</v>
      </c>
      <c r="F26" s="6">
        <v>5743340</v>
      </c>
      <c r="G26" s="6">
        <v>343</v>
      </c>
      <c r="H26" s="6">
        <v>1119</v>
      </c>
      <c r="I26" s="6">
        <v>743</v>
      </c>
      <c r="J26" s="6">
        <v>175</v>
      </c>
      <c r="K26" s="6">
        <v>163</v>
      </c>
      <c r="L26" s="6">
        <v>177</v>
      </c>
      <c r="M26" s="6">
        <v>8</v>
      </c>
      <c r="N26" s="6">
        <v>11643</v>
      </c>
      <c r="O26" s="6">
        <v>1</v>
      </c>
      <c r="Q26" s="7">
        <f t="shared" si="0"/>
        <v>9.0887466813989537</v>
      </c>
      <c r="R26" s="8">
        <f t="shared" si="1"/>
        <v>0.15792280514632359</v>
      </c>
      <c r="S26" s="8">
        <f t="shared" si="3"/>
        <v>0.12488129154795824</v>
      </c>
      <c r="T26" s="7">
        <f t="shared" si="2"/>
        <v>8.3336264818658314</v>
      </c>
    </row>
    <row r="27" spans="1:20" x14ac:dyDescent="0.25">
      <c r="A27" s="5">
        <v>2024</v>
      </c>
      <c r="B27" s="6">
        <v>3150</v>
      </c>
      <c r="C27" s="6">
        <v>303938</v>
      </c>
      <c r="D27" s="6">
        <v>18611</v>
      </c>
      <c r="E27" s="6">
        <v>307291</v>
      </c>
      <c r="F27" s="6">
        <v>6073854</v>
      </c>
      <c r="G27" s="6">
        <v>422</v>
      </c>
      <c r="H27" s="6">
        <v>1426</v>
      </c>
      <c r="I27" s="6">
        <v>883</v>
      </c>
      <c r="J27" s="6">
        <v>203</v>
      </c>
      <c r="K27" s="6">
        <v>225</v>
      </c>
      <c r="L27" s="6">
        <v>245</v>
      </c>
      <c r="M27" s="6">
        <v>5</v>
      </c>
      <c r="N27" s="6">
        <v>12081</v>
      </c>
      <c r="O27" s="6">
        <v>1</v>
      </c>
      <c r="Q27" s="7">
        <f t="shared" si="0"/>
        <v>10.363955806776382</v>
      </c>
      <c r="R27" s="8">
        <f t="shared" si="1"/>
        <v>0.16925474181935415</v>
      </c>
      <c r="S27" s="8">
        <f t="shared" si="3"/>
        <v>0.32967496834107224</v>
      </c>
      <c r="T27" s="7">
        <f t="shared" si="2"/>
        <v>10.250869696802054</v>
      </c>
    </row>
    <row r="28" spans="1:20" x14ac:dyDescent="0.25">
      <c r="A28" s="5">
        <v>2025</v>
      </c>
      <c r="B28" s="6">
        <v>4747</v>
      </c>
      <c r="C28" s="6">
        <v>421237</v>
      </c>
      <c r="D28" s="6">
        <v>25662</v>
      </c>
      <c r="E28" s="6">
        <v>368095</v>
      </c>
      <c r="F28" s="6">
        <v>7188012</v>
      </c>
      <c r="G28" s="6">
        <v>547</v>
      </c>
      <c r="H28" s="6">
        <v>2079</v>
      </c>
      <c r="I28" s="6">
        <v>1252</v>
      </c>
      <c r="J28" s="6">
        <v>300</v>
      </c>
      <c r="K28" s="6">
        <v>302</v>
      </c>
      <c r="L28" s="6">
        <v>441</v>
      </c>
      <c r="M28" s="6">
        <v>18</v>
      </c>
      <c r="N28" s="6">
        <v>13373</v>
      </c>
      <c r="O28" s="6">
        <v>1</v>
      </c>
      <c r="Q28" s="7">
        <f t="shared" si="0"/>
        <v>11.269190503208407</v>
      </c>
      <c r="R28" s="8">
        <f t="shared" si="1"/>
        <v>0.18498168498168499</v>
      </c>
      <c r="S28" s="8">
        <f t="shared" si="3"/>
        <v>0.50698412698412709</v>
      </c>
      <c r="T28" s="7">
        <f t="shared" si="2"/>
        <v>12.896127358426494</v>
      </c>
    </row>
    <row r="29" spans="1:20" x14ac:dyDescent="0.25">
      <c r="A29" s="5">
        <v>2026</v>
      </c>
      <c r="B29" s="6">
        <v>3775</v>
      </c>
      <c r="C29" s="6">
        <v>340677</v>
      </c>
      <c r="D29" s="6">
        <v>20717</v>
      </c>
      <c r="E29" s="6">
        <v>280645</v>
      </c>
      <c r="F29" s="6">
        <v>5569632</v>
      </c>
      <c r="G29" s="6">
        <v>453</v>
      </c>
      <c r="H29" s="6">
        <v>1741</v>
      </c>
      <c r="I29" s="6">
        <v>927</v>
      </c>
      <c r="J29" s="6">
        <v>212</v>
      </c>
      <c r="K29" s="6">
        <v>253</v>
      </c>
      <c r="L29" s="6">
        <v>326</v>
      </c>
      <c r="M29" s="6">
        <v>0</v>
      </c>
      <c r="N29" s="6">
        <v>0</v>
      </c>
      <c r="O29" s="6">
        <v>0</v>
      </c>
      <c r="Q29" s="7">
        <f t="shared" si="0"/>
        <v>11.080877194527368</v>
      </c>
      <c r="R29" s="8">
        <f t="shared" si="1"/>
        <v>0.1822175025341507</v>
      </c>
      <c r="S29" s="8">
        <f t="shared" si="3"/>
        <v>-0.20476090162207705</v>
      </c>
      <c r="T29" s="7">
        <f t="shared" si="2"/>
        <v>13.451157155837446</v>
      </c>
    </row>
    <row r="31" spans="1:20" x14ac:dyDescent="0.25">
      <c r="A31" s="9" t="s">
        <v>40</v>
      </c>
    </row>
    <row r="32" spans="1:20" x14ac:dyDescent="0.25">
      <c r="A32" s="2" t="s">
        <v>41</v>
      </c>
      <c r="B32" s="10">
        <f>SUM(B8:B28)</f>
        <v>20344</v>
      </c>
    </row>
    <row r="33" spans="1:2" x14ac:dyDescent="0.25">
      <c r="A33" s="2" t="s">
        <v>42</v>
      </c>
      <c r="B33" s="8">
        <f>(B28/B8)^(1/20)-1</f>
        <v>0.29259675114724093</v>
      </c>
    </row>
    <row r="34" spans="1:2" x14ac:dyDescent="0.25">
      <c r="A34" s="2" t="s">
        <v>43</v>
      </c>
      <c r="B34" s="8">
        <f>(B28/B18)^(1/10)-1</f>
        <v>0.30554104197764875</v>
      </c>
    </row>
    <row r="35" spans="1:2" x14ac:dyDescent="0.25">
      <c r="A35" s="2" t="s">
        <v>44</v>
      </c>
      <c r="B35" s="7">
        <f>Q8</f>
        <v>0.33968627546130609</v>
      </c>
    </row>
    <row r="36" spans="1:2" x14ac:dyDescent="0.25">
      <c r="A36" s="2" t="s">
        <v>45</v>
      </c>
      <c r="B36" s="7">
        <f>Q28</f>
        <v>11.269190503208407</v>
      </c>
    </row>
    <row r="38" spans="1:2" x14ac:dyDescent="0.25">
      <c r="A38" s="11" t="s">
        <v>46</v>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9"/>
  <sheetViews>
    <sheetView zoomScaleNormal="100" workbookViewId="0">
      <pane ySplit="1" topLeftCell="A2" activePane="bottomLeft" state="frozen"/>
      <selection pane="bottomLeft"/>
    </sheetView>
  </sheetViews>
  <sheetFormatPr defaultColWidth="8.7109375" defaultRowHeight="15" x14ac:dyDescent="0.25"/>
  <cols>
    <col min="1" max="1" width="20" customWidth="1"/>
    <col min="2" max="2" width="8" customWidth="1"/>
    <col min="3" max="3" width="12" customWidth="1"/>
  </cols>
  <sheetData>
    <row r="1" spans="1:3" x14ac:dyDescent="0.25">
      <c r="A1" s="3" t="s">
        <v>47</v>
      </c>
      <c r="B1" s="3" t="s">
        <v>14</v>
      </c>
      <c r="C1" s="3" t="s">
        <v>48</v>
      </c>
    </row>
    <row r="2" spans="1:3" x14ac:dyDescent="0.25">
      <c r="A2" s="12" t="s">
        <v>15</v>
      </c>
      <c r="B2" s="12">
        <v>2000</v>
      </c>
      <c r="C2" s="6">
        <v>12</v>
      </c>
    </row>
    <row r="3" spans="1:3" x14ac:dyDescent="0.25">
      <c r="A3" s="12" t="s">
        <v>15</v>
      </c>
      <c r="B3" s="12">
        <v>2001</v>
      </c>
      <c r="C3" s="6">
        <v>16</v>
      </c>
    </row>
    <row r="4" spans="1:3" x14ac:dyDescent="0.25">
      <c r="A4" s="12" t="s">
        <v>15</v>
      </c>
      <c r="B4" s="12">
        <v>2002</v>
      </c>
      <c r="C4" s="6">
        <v>14</v>
      </c>
    </row>
    <row r="5" spans="1:3" x14ac:dyDescent="0.25">
      <c r="A5" s="12" t="s">
        <v>15</v>
      </c>
      <c r="B5" s="12">
        <v>2003</v>
      </c>
      <c r="C5" s="6">
        <v>18</v>
      </c>
    </row>
    <row r="6" spans="1:3" x14ac:dyDescent="0.25">
      <c r="A6" s="12" t="s">
        <v>15</v>
      </c>
      <c r="B6" s="12">
        <v>2004</v>
      </c>
      <c r="C6" s="6">
        <v>22</v>
      </c>
    </row>
    <row r="7" spans="1:3" x14ac:dyDescent="0.25">
      <c r="A7" s="12" t="s">
        <v>15</v>
      </c>
      <c r="B7" s="12">
        <v>2005</v>
      </c>
      <c r="C7" s="6">
        <v>28</v>
      </c>
    </row>
    <row r="8" spans="1:3" x14ac:dyDescent="0.25">
      <c r="A8" s="12" t="s">
        <v>15</v>
      </c>
      <c r="B8" s="12">
        <v>2006</v>
      </c>
      <c r="C8" s="6">
        <v>37</v>
      </c>
    </row>
    <row r="9" spans="1:3" x14ac:dyDescent="0.25">
      <c r="A9" s="12" t="s">
        <v>15</v>
      </c>
      <c r="B9" s="12">
        <v>2007</v>
      </c>
      <c r="C9" s="6">
        <v>43</v>
      </c>
    </row>
    <row r="10" spans="1:3" x14ac:dyDescent="0.25">
      <c r="A10" s="12" t="s">
        <v>15</v>
      </c>
      <c r="B10" s="12">
        <v>2008</v>
      </c>
      <c r="C10" s="6">
        <v>44</v>
      </c>
    </row>
    <row r="11" spans="1:3" x14ac:dyDescent="0.25">
      <c r="A11" s="12" t="s">
        <v>15</v>
      </c>
      <c r="B11" s="12">
        <v>2009</v>
      </c>
      <c r="C11" s="6">
        <v>55</v>
      </c>
    </row>
    <row r="12" spans="1:3" x14ac:dyDescent="0.25">
      <c r="A12" s="12" t="s">
        <v>15</v>
      </c>
      <c r="B12" s="12">
        <v>2010</v>
      </c>
      <c r="C12" s="6">
        <v>55</v>
      </c>
    </row>
    <row r="13" spans="1:3" x14ac:dyDescent="0.25">
      <c r="A13" s="12" t="s">
        <v>15</v>
      </c>
      <c r="B13" s="12">
        <v>2011</v>
      </c>
      <c r="C13" s="6">
        <v>75</v>
      </c>
    </row>
    <row r="14" spans="1:3" x14ac:dyDescent="0.25">
      <c r="A14" s="12" t="s">
        <v>15</v>
      </c>
      <c r="B14" s="12">
        <v>2012</v>
      </c>
      <c r="C14" s="6">
        <v>105</v>
      </c>
    </row>
    <row r="15" spans="1:3" x14ac:dyDescent="0.25">
      <c r="A15" s="12" t="s">
        <v>15</v>
      </c>
      <c r="B15" s="12">
        <v>2013</v>
      </c>
      <c r="C15" s="6">
        <v>157</v>
      </c>
    </row>
    <row r="16" spans="1:3" x14ac:dyDescent="0.25">
      <c r="A16" s="12" t="s">
        <v>15</v>
      </c>
      <c r="B16" s="12">
        <v>2014</v>
      </c>
      <c r="C16" s="6">
        <v>185</v>
      </c>
    </row>
    <row r="17" spans="1:3" x14ac:dyDescent="0.25">
      <c r="A17" s="12" t="s">
        <v>15</v>
      </c>
      <c r="B17" s="12">
        <v>2015</v>
      </c>
      <c r="C17" s="6">
        <v>330</v>
      </c>
    </row>
    <row r="18" spans="1:3" x14ac:dyDescent="0.25">
      <c r="A18" s="12" t="s">
        <v>15</v>
      </c>
      <c r="B18" s="12">
        <v>2016</v>
      </c>
      <c r="C18" s="6">
        <v>507</v>
      </c>
    </row>
    <row r="19" spans="1:3" x14ac:dyDescent="0.25">
      <c r="A19" s="12" t="s">
        <v>15</v>
      </c>
      <c r="B19" s="12">
        <v>2017</v>
      </c>
      <c r="C19" s="6">
        <v>642</v>
      </c>
    </row>
    <row r="20" spans="1:3" x14ac:dyDescent="0.25">
      <c r="A20" s="12" t="s">
        <v>15</v>
      </c>
      <c r="B20" s="12">
        <v>2018</v>
      </c>
      <c r="C20" s="6">
        <v>906</v>
      </c>
    </row>
    <row r="21" spans="1:3" x14ac:dyDescent="0.25">
      <c r="A21" s="12" t="s">
        <v>15</v>
      </c>
      <c r="B21" s="12">
        <v>2019</v>
      </c>
      <c r="C21" s="6">
        <v>1248</v>
      </c>
    </row>
    <row r="22" spans="1:3" x14ac:dyDescent="0.25">
      <c r="A22" s="12" t="s">
        <v>15</v>
      </c>
      <c r="B22" s="12">
        <v>2020</v>
      </c>
      <c r="C22" s="6">
        <v>1596</v>
      </c>
    </row>
    <row r="23" spans="1:3" x14ac:dyDescent="0.25">
      <c r="A23" s="12" t="s">
        <v>15</v>
      </c>
      <c r="B23" s="12">
        <v>2021</v>
      </c>
      <c r="C23" s="6">
        <v>1959</v>
      </c>
    </row>
    <row r="24" spans="1:3" x14ac:dyDescent="0.25">
      <c r="A24" s="12" t="s">
        <v>15</v>
      </c>
      <c r="B24" s="12">
        <v>2022</v>
      </c>
      <c r="C24" s="6">
        <v>2106</v>
      </c>
    </row>
    <row r="25" spans="1:3" x14ac:dyDescent="0.25">
      <c r="A25" s="12" t="s">
        <v>15</v>
      </c>
      <c r="B25" s="12">
        <v>2023</v>
      </c>
      <c r="C25" s="6">
        <v>2369</v>
      </c>
    </row>
    <row r="26" spans="1:3" x14ac:dyDescent="0.25">
      <c r="A26" s="12" t="s">
        <v>15</v>
      </c>
      <c r="B26" s="12">
        <v>2024</v>
      </c>
      <c r="C26" s="6">
        <v>3150</v>
      </c>
    </row>
    <row r="27" spans="1:3" x14ac:dyDescent="0.25">
      <c r="A27" s="12" t="s">
        <v>15</v>
      </c>
      <c r="B27" s="12">
        <v>2025</v>
      </c>
      <c r="C27" s="6">
        <v>4747</v>
      </c>
    </row>
    <row r="28" spans="1:3" x14ac:dyDescent="0.25">
      <c r="A28" s="12" t="s">
        <v>15</v>
      </c>
      <c r="B28" s="12">
        <v>2026</v>
      </c>
      <c r="C28" s="6">
        <v>3775</v>
      </c>
    </row>
    <row r="29" spans="1:3" x14ac:dyDescent="0.25">
      <c r="A29" s="12" t="s">
        <v>16</v>
      </c>
      <c r="B29" s="12">
        <v>2000</v>
      </c>
      <c r="C29" s="6">
        <v>55124</v>
      </c>
    </row>
    <row r="30" spans="1:3" x14ac:dyDescent="0.25">
      <c r="A30" s="12" t="s">
        <v>16</v>
      </c>
      <c r="B30" s="12">
        <v>2001</v>
      </c>
      <c r="C30" s="6">
        <v>56414</v>
      </c>
    </row>
    <row r="31" spans="1:3" x14ac:dyDescent="0.25">
      <c r="A31" s="12" t="s">
        <v>16</v>
      </c>
      <c r="B31" s="12">
        <v>2002</v>
      </c>
      <c r="C31" s="6">
        <v>61900</v>
      </c>
    </row>
    <row r="32" spans="1:3" x14ac:dyDescent="0.25">
      <c r="A32" s="12" t="s">
        <v>16</v>
      </c>
      <c r="B32" s="12">
        <v>2003</v>
      </c>
      <c r="C32" s="6">
        <v>68251</v>
      </c>
    </row>
    <row r="33" spans="1:3" x14ac:dyDescent="0.25">
      <c r="A33" s="12" t="s">
        <v>16</v>
      </c>
      <c r="B33" s="12">
        <v>2004</v>
      </c>
      <c r="C33" s="6">
        <v>74751</v>
      </c>
    </row>
    <row r="34" spans="1:3" x14ac:dyDescent="0.25">
      <c r="A34" s="12" t="s">
        <v>16</v>
      </c>
      <c r="B34" s="12">
        <v>2005</v>
      </c>
      <c r="C34" s="6">
        <v>82429</v>
      </c>
    </row>
    <row r="35" spans="1:3" x14ac:dyDescent="0.25">
      <c r="A35" s="12" t="s">
        <v>16</v>
      </c>
      <c r="B35" s="12">
        <v>2006</v>
      </c>
      <c r="C35" s="6">
        <v>91508</v>
      </c>
    </row>
    <row r="36" spans="1:3" x14ac:dyDescent="0.25">
      <c r="A36" s="12" t="s">
        <v>16</v>
      </c>
      <c r="B36" s="12">
        <v>2007</v>
      </c>
      <c r="C36" s="6">
        <v>100554</v>
      </c>
    </row>
    <row r="37" spans="1:3" x14ac:dyDescent="0.25">
      <c r="A37" s="12" t="s">
        <v>16</v>
      </c>
      <c r="B37" s="12">
        <v>2008</v>
      </c>
      <c r="C37" s="6">
        <v>110150</v>
      </c>
    </row>
    <row r="38" spans="1:3" x14ac:dyDescent="0.25">
      <c r="A38" s="12" t="s">
        <v>16</v>
      </c>
      <c r="B38" s="12">
        <v>2009</v>
      </c>
      <c r="C38" s="6">
        <v>120571</v>
      </c>
    </row>
    <row r="39" spans="1:3" x14ac:dyDescent="0.25">
      <c r="A39" s="12" t="s">
        <v>16</v>
      </c>
      <c r="B39" s="12">
        <v>2010</v>
      </c>
      <c r="C39" s="6">
        <v>132122</v>
      </c>
    </row>
    <row r="40" spans="1:3" x14ac:dyDescent="0.25">
      <c r="A40" s="12" t="s">
        <v>16</v>
      </c>
      <c r="B40" s="12">
        <v>2011</v>
      </c>
      <c r="C40" s="6">
        <v>140872</v>
      </c>
    </row>
    <row r="41" spans="1:3" x14ac:dyDescent="0.25">
      <c r="A41" s="12" t="s">
        <v>16</v>
      </c>
      <c r="B41" s="12">
        <v>2012</v>
      </c>
      <c r="C41" s="6">
        <v>151365</v>
      </c>
    </row>
    <row r="42" spans="1:3" x14ac:dyDescent="0.25">
      <c r="A42" s="12" t="s">
        <v>16</v>
      </c>
      <c r="B42" s="12">
        <v>2013</v>
      </c>
      <c r="C42" s="6">
        <v>163293</v>
      </c>
    </row>
    <row r="43" spans="1:3" x14ac:dyDescent="0.25">
      <c r="A43" s="12" t="s">
        <v>16</v>
      </c>
      <c r="B43" s="12">
        <v>2014</v>
      </c>
      <c r="C43" s="6">
        <v>169824</v>
      </c>
    </row>
    <row r="44" spans="1:3" x14ac:dyDescent="0.25">
      <c r="A44" s="12" t="s">
        <v>16</v>
      </c>
      <c r="B44" s="12">
        <v>2015</v>
      </c>
      <c r="C44" s="6">
        <v>170288</v>
      </c>
    </row>
    <row r="45" spans="1:3" x14ac:dyDescent="0.25">
      <c r="A45" s="12" t="s">
        <v>16</v>
      </c>
      <c r="B45" s="12">
        <v>2016</v>
      </c>
      <c r="C45" s="6">
        <v>170654</v>
      </c>
    </row>
    <row r="46" spans="1:3" x14ac:dyDescent="0.25">
      <c r="A46" s="12" t="s">
        <v>16</v>
      </c>
      <c r="B46" s="12">
        <v>2017</v>
      </c>
      <c r="C46" s="6">
        <v>171857</v>
      </c>
    </row>
    <row r="47" spans="1:3" x14ac:dyDescent="0.25">
      <c r="A47" s="12" t="s">
        <v>16</v>
      </c>
      <c r="B47" s="12">
        <v>2018</v>
      </c>
      <c r="C47" s="6">
        <v>182993</v>
      </c>
    </row>
    <row r="48" spans="1:3" x14ac:dyDescent="0.25">
      <c r="A48" s="12" t="s">
        <v>16</v>
      </c>
      <c r="B48" s="12">
        <v>2019</v>
      </c>
      <c r="C48" s="6">
        <v>200053</v>
      </c>
    </row>
    <row r="49" spans="1:3" x14ac:dyDescent="0.25">
      <c r="A49" s="12" t="s">
        <v>16</v>
      </c>
      <c r="B49" s="12">
        <v>2020</v>
      </c>
      <c r="C49" s="6">
        <v>226619</v>
      </c>
    </row>
    <row r="50" spans="1:3" x14ac:dyDescent="0.25">
      <c r="A50" s="12" t="s">
        <v>16</v>
      </c>
      <c r="B50" s="12">
        <v>2021</v>
      </c>
      <c r="C50" s="6">
        <v>242227</v>
      </c>
    </row>
    <row r="51" spans="1:3" x14ac:dyDescent="0.25">
      <c r="A51" s="12" t="s">
        <v>16</v>
      </c>
      <c r="B51" s="12">
        <v>2022</v>
      </c>
      <c r="C51" s="6">
        <v>244570</v>
      </c>
    </row>
    <row r="52" spans="1:3" x14ac:dyDescent="0.25">
      <c r="A52" s="12" t="s">
        <v>16</v>
      </c>
      <c r="B52" s="12">
        <v>2023</v>
      </c>
      <c r="C52" s="6">
        <v>260652</v>
      </c>
    </row>
    <row r="53" spans="1:3" x14ac:dyDescent="0.25">
      <c r="A53" s="12" t="s">
        <v>16</v>
      </c>
      <c r="B53" s="12">
        <v>2024</v>
      </c>
      <c r="C53" s="6">
        <v>303938</v>
      </c>
    </row>
    <row r="54" spans="1:3" x14ac:dyDescent="0.25">
      <c r="A54" s="12" t="s">
        <v>16</v>
      </c>
      <c r="B54" s="12">
        <v>2025</v>
      </c>
      <c r="C54" s="6">
        <v>421237</v>
      </c>
    </row>
    <row r="55" spans="1:3" x14ac:dyDescent="0.25">
      <c r="A55" s="12" t="s">
        <v>16</v>
      </c>
      <c r="B55" s="12">
        <v>2026</v>
      </c>
      <c r="C55" s="6">
        <v>340677</v>
      </c>
    </row>
    <row r="56" spans="1:3" x14ac:dyDescent="0.25">
      <c r="A56" s="12" t="s">
        <v>17</v>
      </c>
      <c r="B56" s="12">
        <v>2000</v>
      </c>
      <c r="C56" s="6">
        <v>560</v>
      </c>
    </row>
    <row r="57" spans="1:3" x14ac:dyDescent="0.25">
      <c r="A57" s="12" t="s">
        <v>17</v>
      </c>
      <c r="B57" s="12">
        <v>2001</v>
      </c>
      <c r="C57" s="6">
        <v>585</v>
      </c>
    </row>
    <row r="58" spans="1:3" x14ac:dyDescent="0.25">
      <c r="A58" s="12" t="s">
        <v>17</v>
      </c>
      <c r="B58" s="12">
        <v>2002</v>
      </c>
      <c r="C58" s="6">
        <v>632</v>
      </c>
    </row>
    <row r="59" spans="1:3" x14ac:dyDescent="0.25">
      <c r="A59" s="12" t="s">
        <v>17</v>
      </c>
      <c r="B59" s="12">
        <v>2003</v>
      </c>
      <c r="C59" s="6">
        <v>747</v>
      </c>
    </row>
    <row r="60" spans="1:3" x14ac:dyDescent="0.25">
      <c r="A60" s="12" t="s">
        <v>17</v>
      </c>
      <c r="B60" s="12">
        <v>2004</v>
      </c>
      <c r="C60" s="6">
        <v>976</v>
      </c>
    </row>
    <row r="61" spans="1:3" x14ac:dyDescent="0.25">
      <c r="A61" s="12" t="s">
        <v>17</v>
      </c>
      <c r="B61" s="12">
        <v>2005</v>
      </c>
      <c r="C61" s="6">
        <v>967</v>
      </c>
    </row>
    <row r="62" spans="1:3" x14ac:dyDescent="0.25">
      <c r="A62" s="12" t="s">
        <v>17</v>
      </c>
      <c r="B62" s="12">
        <v>2006</v>
      </c>
      <c r="C62" s="6">
        <v>1134</v>
      </c>
    </row>
    <row r="63" spans="1:3" x14ac:dyDescent="0.25">
      <c r="A63" s="12" t="s">
        <v>17</v>
      </c>
      <c r="B63" s="12">
        <v>2007</v>
      </c>
      <c r="C63" s="6">
        <v>1302</v>
      </c>
    </row>
    <row r="64" spans="1:3" x14ac:dyDescent="0.25">
      <c r="A64" s="12" t="s">
        <v>17</v>
      </c>
      <c r="B64" s="12">
        <v>2008</v>
      </c>
      <c r="C64" s="6">
        <v>1465</v>
      </c>
    </row>
    <row r="65" spans="1:3" x14ac:dyDescent="0.25">
      <c r="A65" s="12" t="s">
        <v>17</v>
      </c>
      <c r="B65" s="12">
        <v>2009</v>
      </c>
      <c r="C65" s="6">
        <v>1694</v>
      </c>
    </row>
    <row r="66" spans="1:3" x14ac:dyDescent="0.25">
      <c r="A66" s="12" t="s">
        <v>17</v>
      </c>
      <c r="B66" s="12">
        <v>2010</v>
      </c>
      <c r="C66" s="6">
        <v>1904</v>
      </c>
    </row>
    <row r="67" spans="1:3" x14ac:dyDescent="0.25">
      <c r="A67" s="12" t="s">
        <v>17</v>
      </c>
      <c r="B67" s="12">
        <v>2011</v>
      </c>
      <c r="C67" s="6">
        <v>2194</v>
      </c>
    </row>
    <row r="68" spans="1:3" x14ac:dyDescent="0.25">
      <c r="A68" s="12" t="s">
        <v>17</v>
      </c>
      <c r="B68" s="12">
        <v>2012</v>
      </c>
      <c r="C68" s="6">
        <v>2763</v>
      </c>
    </row>
    <row r="69" spans="1:3" x14ac:dyDescent="0.25">
      <c r="A69" s="12" t="s">
        <v>17</v>
      </c>
      <c r="B69" s="12">
        <v>2013</v>
      </c>
      <c r="C69" s="6">
        <v>3478</v>
      </c>
    </row>
    <row r="70" spans="1:3" x14ac:dyDescent="0.25">
      <c r="A70" s="12" t="s">
        <v>17</v>
      </c>
      <c r="B70" s="12">
        <v>2014</v>
      </c>
      <c r="C70" s="6">
        <v>3948</v>
      </c>
    </row>
    <row r="71" spans="1:3" x14ac:dyDescent="0.25">
      <c r="A71" s="12" t="s">
        <v>17</v>
      </c>
      <c r="B71" s="12">
        <v>2015</v>
      </c>
      <c r="C71" s="6">
        <v>4811</v>
      </c>
    </row>
    <row r="72" spans="1:3" x14ac:dyDescent="0.25">
      <c r="A72" s="12" t="s">
        <v>17</v>
      </c>
      <c r="B72" s="12">
        <v>2016</v>
      </c>
      <c r="C72" s="6">
        <v>5887</v>
      </c>
    </row>
    <row r="73" spans="1:3" x14ac:dyDescent="0.25">
      <c r="A73" s="12" t="s">
        <v>17</v>
      </c>
      <c r="B73" s="12">
        <v>2017</v>
      </c>
      <c r="C73" s="6">
        <v>6516</v>
      </c>
    </row>
    <row r="74" spans="1:3" x14ac:dyDescent="0.25">
      <c r="A74" s="12" t="s">
        <v>17</v>
      </c>
      <c r="B74" s="12">
        <v>2018</v>
      </c>
      <c r="C74" s="6">
        <v>8076</v>
      </c>
    </row>
    <row r="75" spans="1:3" x14ac:dyDescent="0.25">
      <c r="A75" s="12" t="s">
        <v>17</v>
      </c>
      <c r="B75" s="12">
        <v>2019</v>
      </c>
      <c r="C75" s="6">
        <v>9779</v>
      </c>
    </row>
    <row r="76" spans="1:3" x14ac:dyDescent="0.25">
      <c r="A76" s="12" t="s">
        <v>17</v>
      </c>
      <c r="B76" s="12">
        <v>2020</v>
      </c>
      <c r="C76" s="6">
        <v>11394</v>
      </c>
    </row>
    <row r="77" spans="1:3" x14ac:dyDescent="0.25">
      <c r="A77" s="12" t="s">
        <v>17</v>
      </c>
      <c r="B77" s="12">
        <v>2021</v>
      </c>
      <c r="C77" s="6">
        <v>12500</v>
      </c>
    </row>
    <row r="78" spans="1:3" x14ac:dyDescent="0.25">
      <c r="A78" s="12" t="s">
        <v>17</v>
      </c>
      <c r="B78" s="12">
        <v>2022</v>
      </c>
      <c r="C78" s="6">
        <v>13379</v>
      </c>
    </row>
    <row r="79" spans="1:3" x14ac:dyDescent="0.25">
      <c r="A79" s="12" t="s">
        <v>17</v>
      </c>
      <c r="B79" s="12">
        <v>2023</v>
      </c>
      <c r="C79" s="6">
        <v>15001</v>
      </c>
    </row>
    <row r="80" spans="1:3" x14ac:dyDescent="0.25">
      <c r="A80" s="12" t="s">
        <v>17</v>
      </c>
      <c r="B80" s="12">
        <v>2024</v>
      </c>
      <c r="C80" s="6">
        <v>18611</v>
      </c>
    </row>
    <row r="81" spans="1:3" x14ac:dyDescent="0.25">
      <c r="A81" s="12" t="s">
        <v>17</v>
      </c>
      <c r="B81" s="12">
        <v>2025</v>
      </c>
      <c r="C81" s="6">
        <v>25662</v>
      </c>
    </row>
    <row r="82" spans="1:3" x14ac:dyDescent="0.25">
      <c r="A82" s="12" t="s">
        <v>17</v>
      </c>
      <c r="B82" s="12">
        <v>2026</v>
      </c>
      <c r="C82" s="6">
        <v>20717</v>
      </c>
    </row>
    <row r="83" spans="1:3" x14ac:dyDescent="0.25">
      <c r="A83" s="12" t="s">
        <v>20</v>
      </c>
      <c r="B83" s="12">
        <v>2000</v>
      </c>
      <c r="C83" s="6">
        <v>6</v>
      </c>
    </row>
    <row r="84" spans="1:3" x14ac:dyDescent="0.25">
      <c r="A84" s="12" t="s">
        <v>20</v>
      </c>
      <c r="B84" s="12">
        <v>2001</v>
      </c>
      <c r="C84" s="6">
        <v>12</v>
      </c>
    </row>
    <row r="85" spans="1:3" x14ac:dyDescent="0.25">
      <c r="A85" s="12" t="s">
        <v>20</v>
      </c>
      <c r="B85" s="12">
        <v>2002</v>
      </c>
      <c r="C85" s="6">
        <v>9</v>
      </c>
    </row>
    <row r="86" spans="1:3" x14ac:dyDescent="0.25">
      <c r="A86" s="12" t="s">
        <v>20</v>
      </c>
      <c r="B86" s="12">
        <v>2003</v>
      </c>
      <c r="C86" s="6">
        <v>11</v>
      </c>
    </row>
    <row r="87" spans="1:3" x14ac:dyDescent="0.25">
      <c r="A87" s="12" t="s">
        <v>20</v>
      </c>
      <c r="B87" s="12">
        <v>2004</v>
      </c>
      <c r="C87" s="6">
        <v>21</v>
      </c>
    </row>
    <row r="88" spans="1:3" x14ac:dyDescent="0.25">
      <c r="A88" s="12" t="s">
        <v>20</v>
      </c>
      <c r="B88" s="12">
        <v>2005</v>
      </c>
      <c r="C88" s="6">
        <v>19</v>
      </c>
    </row>
    <row r="89" spans="1:3" x14ac:dyDescent="0.25">
      <c r="A89" s="12" t="s">
        <v>20</v>
      </c>
      <c r="B89" s="12">
        <v>2006</v>
      </c>
      <c r="C89" s="6">
        <v>12</v>
      </c>
    </row>
    <row r="90" spans="1:3" x14ac:dyDescent="0.25">
      <c r="A90" s="12" t="s">
        <v>20</v>
      </c>
      <c r="B90" s="12">
        <v>2007</v>
      </c>
      <c r="C90" s="6">
        <v>25</v>
      </c>
    </row>
    <row r="91" spans="1:3" x14ac:dyDescent="0.25">
      <c r="A91" s="12" t="s">
        <v>20</v>
      </c>
      <c r="B91" s="12">
        <v>2008</v>
      </c>
      <c r="C91" s="6">
        <v>17</v>
      </c>
    </row>
    <row r="92" spans="1:3" x14ac:dyDescent="0.25">
      <c r="A92" s="12" t="s">
        <v>20</v>
      </c>
      <c r="B92" s="12">
        <v>2009</v>
      </c>
      <c r="C92" s="6">
        <v>23</v>
      </c>
    </row>
    <row r="93" spans="1:3" x14ac:dyDescent="0.25">
      <c r="A93" s="12" t="s">
        <v>20</v>
      </c>
      <c r="B93" s="12">
        <v>2010</v>
      </c>
      <c r="C93" s="6">
        <v>27</v>
      </c>
    </row>
    <row r="94" spans="1:3" x14ac:dyDescent="0.25">
      <c r="A94" s="12" t="s">
        <v>20</v>
      </c>
      <c r="B94" s="12">
        <v>2011</v>
      </c>
      <c r="C94" s="6">
        <v>27</v>
      </c>
    </row>
    <row r="95" spans="1:3" x14ac:dyDescent="0.25">
      <c r="A95" s="12" t="s">
        <v>20</v>
      </c>
      <c r="B95" s="12">
        <v>2012</v>
      </c>
      <c r="C95" s="6">
        <v>33</v>
      </c>
    </row>
    <row r="96" spans="1:3" x14ac:dyDescent="0.25">
      <c r="A96" s="12" t="s">
        <v>20</v>
      </c>
      <c r="B96" s="12">
        <v>2013</v>
      </c>
      <c r="C96" s="6">
        <v>60</v>
      </c>
    </row>
    <row r="97" spans="1:3" x14ac:dyDescent="0.25">
      <c r="A97" s="12" t="s">
        <v>20</v>
      </c>
      <c r="B97" s="12">
        <v>2014</v>
      </c>
      <c r="C97" s="6">
        <v>56</v>
      </c>
    </row>
    <row r="98" spans="1:3" x14ac:dyDescent="0.25">
      <c r="A98" s="12" t="s">
        <v>20</v>
      </c>
      <c r="B98" s="12">
        <v>2015</v>
      </c>
      <c r="C98" s="6">
        <v>100</v>
      </c>
    </row>
    <row r="99" spans="1:3" x14ac:dyDescent="0.25">
      <c r="A99" s="12" t="s">
        <v>20</v>
      </c>
      <c r="B99" s="12">
        <v>2016</v>
      </c>
      <c r="C99" s="6">
        <v>100</v>
      </c>
    </row>
    <row r="100" spans="1:3" x14ac:dyDescent="0.25">
      <c r="A100" s="12" t="s">
        <v>20</v>
      </c>
      <c r="B100" s="12">
        <v>2017</v>
      </c>
      <c r="C100" s="6">
        <v>123</v>
      </c>
    </row>
    <row r="101" spans="1:3" x14ac:dyDescent="0.25">
      <c r="A101" s="12" t="s">
        <v>20</v>
      </c>
      <c r="B101" s="12">
        <v>2018</v>
      </c>
      <c r="C101" s="6">
        <v>181</v>
      </c>
    </row>
    <row r="102" spans="1:3" x14ac:dyDescent="0.25">
      <c r="A102" s="12" t="s">
        <v>20</v>
      </c>
      <c r="B102" s="12">
        <v>2019</v>
      </c>
      <c r="C102" s="6">
        <v>209</v>
      </c>
    </row>
    <row r="103" spans="1:3" x14ac:dyDescent="0.25">
      <c r="A103" s="12" t="s">
        <v>20</v>
      </c>
      <c r="B103" s="12">
        <v>2020</v>
      </c>
      <c r="C103" s="6">
        <v>234</v>
      </c>
    </row>
    <row r="104" spans="1:3" x14ac:dyDescent="0.25">
      <c r="A104" s="12" t="s">
        <v>20</v>
      </c>
      <c r="B104" s="12">
        <v>2021</v>
      </c>
      <c r="C104" s="6">
        <v>313</v>
      </c>
    </row>
    <row r="105" spans="1:3" x14ac:dyDescent="0.25">
      <c r="A105" s="12" t="s">
        <v>20</v>
      </c>
      <c r="B105" s="12">
        <v>2022</v>
      </c>
      <c r="C105" s="6">
        <v>312</v>
      </c>
    </row>
    <row r="106" spans="1:3" x14ac:dyDescent="0.25">
      <c r="A106" s="12" t="s">
        <v>20</v>
      </c>
      <c r="B106" s="12">
        <v>2023</v>
      </c>
      <c r="C106" s="6">
        <v>343</v>
      </c>
    </row>
    <row r="107" spans="1:3" x14ac:dyDescent="0.25">
      <c r="A107" s="12" t="s">
        <v>20</v>
      </c>
      <c r="B107" s="12">
        <v>2024</v>
      </c>
      <c r="C107" s="6">
        <v>422</v>
      </c>
    </row>
    <row r="108" spans="1:3" x14ac:dyDescent="0.25">
      <c r="A108" s="12" t="s">
        <v>20</v>
      </c>
      <c r="B108" s="12">
        <v>2025</v>
      </c>
      <c r="C108" s="6">
        <v>547</v>
      </c>
    </row>
    <row r="109" spans="1:3" x14ac:dyDescent="0.25">
      <c r="A109" s="12" t="s">
        <v>20</v>
      </c>
      <c r="B109" s="12">
        <v>2026</v>
      </c>
      <c r="C109" s="6">
        <v>453</v>
      </c>
    </row>
    <row r="110" spans="1:3" x14ac:dyDescent="0.25">
      <c r="A110" s="12" t="s">
        <v>21</v>
      </c>
      <c r="B110" s="12">
        <v>2000</v>
      </c>
      <c r="C110" s="6">
        <v>5</v>
      </c>
    </row>
    <row r="111" spans="1:3" x14ac:dyDescent="0.25">
      <c r="A111" s="12" t="s">
        <v>21</v>
      </c>
      <c r="B111" s="12">
        <v>2001</v>
      </c>
      <c r="C111" s="6">
        <v>9</v>
      </c>
    </row>
    <row r="112" spans="1:3" x14ac:dyDescent="0.25">
      <c r="A112" s="12" t="s">
        <v>21</v>
      </c>
      <c r="B112" s="12">
        <v>2002</v>
      </c>
      <c r="C112" s="6">
        <v>4</v>
      </c>
    </row>
    <row r="113" spans="1:3" x14ac:dyDescent="0.25">
      <c r="A113" s="12" t="s">
        <v>21</v>
      </c>
      <c r="B113" s="12">
        <v>2003</v>
      </c>
      <c r="C113" s="6">
        <v>8</v>
      </c>
    </row>
    <row r="114" spans="1:3" x14ac:dyDescent="0.25">
      <c r="A114" s="12" t="s">
        <v>21</v>
      </c>
      <c r="B114" s="12">
        <v>2004</v>
      </c>
      <c r="C114" s="6">
        <v>10</v>
      </c>
    </row>
    <row r="115" spans="1:3" x14ac:dyDescent="0.25">
      <c r="A115" s="12" t="s">
        <v>21</v>
      </c>
      <c r="B115" s="12">
        <v>2005</v>
      </c>
      <c r="C115" s="6">
        <v>10</v>
      </c>
    </row>
    <row r="116" spans="1:3" x14ac:dyDescent="0.25">
      <c r="A116" s="12" t="s">
        <v>21</v>
      </c>
      <c r="B116" s="12">
        <v>2006</v>
      </c>
      <c r="C116" s="6">
        <v>16</v>
      </c>
    </row>
    <row r="117" spans="1:3" x14ac:dyDescent="0.25">
      <c r="A117" s="12" t="s">
        <v>21</v>
      </c>
      <c r="B117" s="12">
        <v>2007</v>
      </c>
      <c r="C117" s="6">
        <v>17</v>
      </c>
    </row>
    <row r="118" spans="1:3" x14ac:dyDescent="0.25">
      <c r="A118" s="12" t="s">
        <v>21</v>
      </c>
      <c r="B118" s="12">
        <v>2008</v>
      </c>
      <c r="C118" s="6">
        <v>7</v>
      </c>
    </row>
    <row r="119" spans="1:3" x14ac:dyDescent="0.25">
      <c r="A119" s="12" t="s">
        <v>21</v>
      </c>
      <c r="B119" s="12">
        <v>2009</v>
      </c>
      <c r="C119" s="6">
        <v>21</v>
      </c>
    </row>
    <row r="120" spans="1:3" x14ac:dyDescent="0.25">
      <c r="A120" s="12" t="s">
        <v>21</v>
      </c>
      <c r="B120" s="12">
        <v>2010</v>
      </c>
      <c r="C120" s="6">
        <v>14</v>
      </c>
    </row>
    <row r="121" spans="1:3" x14ac:dyDescent="0.25">
      <c r="A121" s="12" t="s">
        <v>21</v>
      </c>
      <c r="B121" s="12">
        <v>2011</v>
      </c>
      <c r="C121" s="6">
        <v>19</v>
      </c>
    </row>
    <row r="122" spans="1:3" x14ac:dyDescent="0.25">
      <c r="A122" s="12" t="s">
        <v>21</v>
      </c>
      <c r="B122" s="12">
        <v>2012</v>
      </c>
      <c r="C122" s="6">
        <v>29</v>
      </c>
    </row>
    <row r="123" spans="1:3" x14ac:dyDescent="0.25">
      <c r="A123" s="12" t="s">
        <v>21</v>
      </c>
      <c r="B123" s="12">
        <v>2013</v>
      </c>
      <c r="C123" s="6">
        <v>55</v>
      </c>
    </row>
    <row r="124" spans="1:3" x14ac:dyDescent="0.25">
      <c r="A124" s="12" t="s">
        <v>21</v>
      </c>
      <c r="B124" s="12">
        <v>2014</v>
      </c>
      <c r="C124" s="6">
        <v>62</v>
      </c>
    </row>
    <row r="125" spans="1:3" x14ac:dyDescent="0.25">
      <c r="A125" s="12" t="s">
        <v>21</v>
      </c>
      <c r="B125" s="12">
        <v>2015</v>
      </c>
      <c r="C125" s="6">
        <v>114</v>
      </c>
    </row>
    <row r="126" spans="1:3" x14ac:dyDescent="0.25">
      <c r="A126" s="12" t="s">
        <v>21</v>
      </c>
      <c r="B126" s="12">
        <v>2016</v>
      </c>
      <c r="C126" s="6">
        <v>178</v>
      </c>
    </row>
    <row r="127" spans="1:3" x14ac:dyDescent="0.25">
      <c r="A127" s="12" t="s">
        <v>21</v>
      </c>
      <c r="B127" s="12">
        <v>2017</v>
      </c>
      <c r="C127" s="6">
        <v>258</v>
      </c>
    </row>
    <row r="128" spans="1:3" x14ac:dyDescent="0.25">
      <c r="A128" s="12" t="s">
        <v>21</v>
      </c>
      <c r="B128" s="12">
        <v>2018</v>
      </c>
      <c r="C128" s="6">
        <v>358</v>
      </c>
    </row>
    <row r="129" spans="1:3" x14ac:dyDescent="0.25">
      <c r="A129" s="12" t="s">
        <v>21</v>
      </c>
      <c r="B129" s="12">
        <v>2019</v>
      </c>
      <c r="C129" s="6">
        <v>537</v>
      </c>
    </row>
    <row r="130" spans="1:3" x14ac:dyDescent="0.25">
      <c r="A130" s="12" t="s">
        <v>21</v>
      </c>
      <c r="B130" s="12">
        <v>2020</v>
      </c>
      <c r="C130" s="6">
        <v>686</v>
      </c>
    </row>
    <row r="131" spans="1:3" x14ac:dyDescent="0.25">
      <c r="A131" s="12" t="s">
        <v>21</v>
      </c>
      <c r="B131" s="12">
        <v>2021</v>
      </c>
      <c r="C131" s="6">
        <v>872</v>
      </c>
    </row>
    <row r="132" spans="1:3" x14ac:dyDescent="0.25">
      <c r="A132" s="12" t="s">
        <v>21</v>
      </c>
      <c r="B132" s="12">
        <v>2022</v>
      </c>
      <c r="C132" s="6">
        <v>1030</v>
      </c>
    </row>
    <row r="133" spans="1:3" x14ac:dyDescent="0.25">
      <c r="A133" s="12" t="s">
        <v>21</v>
      </c>
      <c r="B133" s="12">
        <v>2023</v>
      </c>
      <c r="C133" s="6">
        <v>1119</v>
      </c>
    </row>
    <row r="134" spans="1:3" x14ac:dyDescent="0.25">
      <c r="A134" s="12" t="s">
        <v>21</v>
      </c>
      <c r="B134" s="12">
        <v>2024</v>
      </c>
      <c r="C134" s="6">
        <v>1426</v>
      </c>
    </row>
    <row r="135" spans="1:3" x14ac:dyDescent="0.25">
      <c r="A135" s="12" t="s">
        <v>21</v>
      </c>
      <c r="B135" s="12">
        <v>2025</v>
      </c>
      <c r="C135" s="6">
        <v>2079</v>
      </c>
    </row>
    <row r="136" spans="1:3" x14ac:dyDescent="0.25">
      <c r="A136" s="12" t="s">
        <v>21</v>
      </c>
      <c r="B136" s="12">
        <v>2026</v>
      </c>
      <c r="C136" s="6">
        <v>1741</v>
      </c>
    </row>
    <row r="137" spans="1:3" x14ac:dyDescent="0.25">
      <c r="A137" s="12" t="s">
        <v>22</v>
      </c>
      <c r="B137" s="12">
        <v>2000</v>
      </c>
      <c r="C137" s="6">
        <v>8</v>
      </c>
    </row>
    <row r="138" spans="1:3" x14ac:dyDescent="0.25">
      <c r="A138" s="12" t="s">
        <v>22</v>
      </c>
      <c r="B138" s="12">
        <v>2001</v>
      </c>
      <c r="C138" s="6">
        <v>8</v>
      </c>
    </row>
    <row r="139" spans="1:3" x14ac:dyDescent="0.25">
      <c r="A139" s="12" t="s">
        <v>22</v>
      </c>
      <c r="B139" s="12">
        <v>2002</v>
      </c>
      <c r="C139" s="6">
        <v>4</v>
      </c>
    </row>
    <row r="140" spans="1:3" x14ac:dyDescent="0.25">
      <c r="A140" s="12" t="s">
        <v>22</v>
      </c>
      <c r="B140" s="12">
        <v>2003</v>
      </c>
      <c r="C140" s="6">
        <v>11</v>
      </c>
    </row>
    <row r="141" spans="1:3" x14ac:dyDescent="0.25">
      <c r="A141" s="12" t="s">
        <v>22</v>
      </c>
      <c r="B141" s="12">
        <v>2004</v>
      </c>
      <c r="C141" s="6">
        <v>8</v>
      </c>
    </row>
    <row r="142" spans="1:3" x14ac:dyDescent="0.25">
      <c r="A142" s="12" t="s">
        <v>22</v>
      </c>
      <c r="B142" s="12">
        <v>2005</v>
      </c>
      <c r="C142" s="6">
        <v>9</v>
      </c>
    </row>
    <row r="143" spans="1:3" x14ac:dyDescent="0.25">
      <c r="A143" s="12" t="s">
        <v>22</v>
      </c>
      <c r="B143" s="12">
        <v>2006</v>
      </c>
      <c r="C143" s="6">
        <v>7</v>
      </c>
    </row>
    <row r="144" spans="1:3" x14ac:dyDescent="0.25">
      <c r="A144" s="12" t="s">
        <v>22</v>
      </c>
      <c r="B144" s="12">
        <v>2007</v>
      </c>
      <c r="C144" s="6">
        <v>10</v>
      </c>
    </row>
    <row r="145" spans="1:3" x14ac:dyDescent="0.25">
      <c r="A145" s="12" t="s">
        <v>22</v>
      </c>
      <c r="B145" s="12">
        <v>2008</v>
      </c>
      <c r="C145" s="6">
        <v>6</v>
      </c>
    </row>
    <row r="146" spans="1:3" x14ac:dyDescent="0.25">
      <c r="A146" s="12" t="s">
        <v>22</v>
      </c>
      <c r="B146" s="12">
        <v>2009</v>
      </c>
      <c r="C146" s="6">
        <v>15</v>
      </c>
    </row>
    <row r="147" spans="1:3" x14ac:dyDescent="0.25">
      <c r="A147" s="12" t="s">
        <v>22</v>
      </c>
      <c r="B147" s="12">
        <v>2010</v>
      </c>
      <c r="C147" s="6">
        <v>23</v>
      </c>
    </row>
    <row r="148" spans="1:3" x14ac:dyDescent="0.25">
      <c r="A148" s="12" t="s">
        <v>22</v>
      </c>
      <c r="B148" s="12">
        <v>2011</v>
      </c>
      <c r="C148" s="6">
        <v>22</v>
      </c>
    </row>
    <row r="149" spans="1:3" x14ac:dyDescent="0.25">
      <c r="A149" s="12" t="s">
        <v>22</v>
      </c>
      <c r="B149" s="12">
        <v>2012</v>
      </c>
      <c r="C149" s="6">
        <v>39</v>
      </c>
    </row>
    <row r="150" spans="1:3" x14ac:dyDescent="0.25">
      <c r="A150" s="12" t="s">
        <v>22</v>
      </c>
      <c r="B150" s="12">
        <v>2013</v>
      </c>
      <c r="C150" s="6">
        <v>64</v>
      </c>
    </row>
    <row r="151" spans="1:3" x14ac:dyDescent="0.25">
      <c r="A151" s="12" t="s">
        <v>22</v>
      </c>
      <c r="B151" s="12">
        <v>2014</v>
      </c>
      <c r="C151" s="6">
        <v>82</v>
      </c>
    </row>
    <row r="152" spans="1:3" x14ac:dyDescent="0.25">
      <c r="A152" s="12" t="s">
        <v>22</v>
      </c>
      <c r="B152" s="12">
        <v>2015</v>
      </c>
      <c r="C152" s="6">
        <v>126</v>
      </c>
    </row>
    <row r="153" spans="1:3" x14ac:dyDescent="0.25">
      <c r="A153" s="12" t="s">
        <v>22</v>
      </c>
      <c r="B153" s="12">
        <v>2016</v>
      </c>
      <c r="C153" s="6">
        <v>185</v>
      </c>
    </row>
    <row r="154" spans="1:3" x14ac:dyDescent="0.25">
      <c r="A154" s="12" t="s">
        <v>22</v>
      </c>
      <c r="B154" s="12">
        <v>2017</v>
      </c>
      <c r="C154" s="6">
        <v>277</v>
      </c>
    </row>
    <row r="155" spans="1:3" x14ac:dyDescent="0.25">
      <c r="A155" s="12" t="s">
        <v>22</v>
      </c>
      <c r="B155" s="12">
        <v>2018</v>
      </c>
      <c r="C155" s="6">
        <v>324</v>
      </c>
    </row>
    <row r="156" spans="1:3" x14ac:dyDescent="0.25">
      <c r="A156" s="12" t="s">
        <v>22</v>
      </c>
      <c r="B156" s="12">
        <v>2019</v>
      </c>
      <c r="C156" s="6">
        <v>441</v>
      </c>
    </row>
    <row r="157" spans="1:3" x14ac:dyDescent="0.25">
      <c r="A157" s="12" t="s">
        <v>22</v>
      </c>
      <c r="B157" s="12">
        <v>2020</v>
      </c>
      <c r="C157" s="6">
        <v>592</v>
      </c>
    </row>
    <row r="158" spans="1:3" x14ac:dyDescent="0.25">
      <c r="A158" s="12" t="s">
        <v>22</v>
      </c>
      <c r="B158" s="12">
        <v>2021</v>
      </c>
      <c r="C158" s="6">
        <v>674</v>
      </c>
    </row>
    <row r="159" spans="1:3" x14ac:dyDescent="0.25">
      <c r="A159" s="12" t="s">
        <v>22</v>
      </c>
      <c r="B159" s="12">
        <v>2022</v>
      </c>
      <c r="C159" s="6">
        <v>731</v>
      </c>
    </row>
    <row r="160" spans="1:3" x14ac:dyDescent="0.25">
      <c r="A160" s="12" t="s">
        <v>22</v>
      </c>
      <c r="B160" s="12">
        <v>2023</v>
      </c>
      <c r="C160" s="6">
        <v>743</v>
      </c>
    </row>
    <row r="161" spans="1:3" x14ac:dyDescent="0.25">
      <c r="A161" s="12" t="s">
        <v>22</v>
      </c>
      <c r="B161" s="12">
        <v>2024</v>
      </c>
      <c r="C161" s="6">
        <v>883</v>
      </c>
    </row>
    <row r="162" spans="1:3" x14ac:dyDescent="0.25">
      <c r="A162" s="12" t="s">
        <v>22</v>
      </c>
      <c r="B162" s="12">
        <v>2025</v>
      </c>
      <c r="C162" s="6">
        <v>1252</v>
      </c>
    </row>
    <row r="163" spans="1:3" x14ac:dyDescent="0.25">
      <c r="A163" s="12" t="s">
        <v>22</v>
      </c>
      <c r="B163" s="12">
        <v>2026</v>
      </c>
      <c r="C163" s="6">
        <v>927</v>
      </c>
    </row>
    <row r="164" spans="1:3" x14ac:dyDescent="0.25">
      <c r="A164" s="12" t="s">
        <v>23</v>
      </c>
      <c r="B164" s="12">
        <v>2000</v>
      </c>
      <c r="C164" s="6">
        <v>0</v>
      </c>
    </row>
    <row r="165" spans="1:3" x14ac:dyDescent="0.25">
      <c r="A165" s="12" t="s">
        <v>23</v>
      </c>
      <c r="B165" s="12">
        <v>2001</v>
      </c>
      <c r="C165" s="6">
        <v>0</v>
      </c>
    </row>
    <row r="166" spans="1:3" x14ac:dyDescent="0.25">
      <c r="A166" s="12" t="s">
        <v>23</v>
      </c>
      <c r="B166" s="12">
        <v>2002</v>
      </c>
      <c r="C166" s="6">
        <v>1</v>
      </c>
    </row>
    <row r="167" spans="1:3" x14ac:dyDescent="0.25">
      <c r="A167" s="12" t="s">
        <v>23</v>
      </c>
      <c r="B167" s="12">
        <v>2003</v>
      </c>
      <c r="C167" s="6">
        <v>2</v>
      </c>
    </row>
    <row r="168" spans="1:3" x14ac:dyDescent="0.25">
      <c r="A168" s="12" t="s">
        <v>23</v>
      </c>
      <c r="B168" s="12">
        <v>2004</v>
      </c>
      <c r="C168" s="6">
        <v>1</v>
      </c>
    </row>
    <row r="169" spans="1:3" x14ac:dyDescent="0.25">
      <c r="A169" s="12" t="s">
        <v>23</v>
      </c>
      <c r="B169" s="12">
        <v>2005</v>
      </c>
      <c r="C169" s="6">
        <v>0</v>
      </c>
    </row>
    <row r="170" spans="1:3" x14ac:dyDescent="0.25">
      <c r="A170" s="12" t="s">
        <v>23</v>
      </c>
      <c r="B170" s="12">
        <v>2006</v>
      </c>
      <c r="C170" s="6">
        <v>1</v>
      </c>
    </row>
    <row r="171" spans="1:3" x14ac:dyDescent="0.25">
      <c r="A171" s="12" t="s">
        <v>23</v>
      </c>
      <c r="B171" s="12">
        <v>2007</v>
      </c>
      <c r="C171" s="6">
        <v>8</v>
      </c>
    </row>
    <row r="172" spans="1:3" x14ac:dyDescent="0.25">
      <c r="A172" s="12" t="s">
        <v>23</v>
      </c>
      <c r="B172" s="12">
        <v>2008</v>
      </c>
      <c r="C172" s="6">
        <v>2</v>
      </c>
    </row>
    <row r="173" spans="1:3" x14ac:dyDescent="0.25">
      <c r="A173" s="12" t="s">
        <v>23</v>
      </c>
      <c r="B173" s="12">
        <v>2009</v>
      </c>
      <c r="C173" s="6">
        <v>3</v>
      </c>
    </row>
    <row r="174" spans="1:3" x14ac:dyDescent="0.25">
      <c r="A174" s="12" t="s">
        <v>23</v>
      </c>
      <c r="B174" s="12">
        <v>2010</v>
      </c>
      <c r="C174" s="6">
        <v>7</v>
      </c>
    </row>
    <row r="175" spans="1:3" x14ac:dyDescent="0.25">
      <c r="A175" s="12" t="s">
        <v>23</v>
      </c>
      <c r="B175" s="12">
        <v>2011</v>
      </c>
      <c r="C175" s="6">
        <v>4</v>
      </c>
    </row>
    <row r="176" spans="1:3" x14ac:dyDescent="0.25">
      <c r="A176" s="12" t="s">
        <v>23</v>
      </c>
      <c r="B176" s="12">
        <v>2012</v>
      </c>
      <c r="C176" s="6">
        <v>11</v>
      </c>
    </row>
    <row r="177" spans="1:3" x14ac:dyDescent="0.25">
      <c r="A177" s="12" t="s">
        <v>23</v>
      </c>
      <c r="B177" s="12">
        <v>2013</v>
      </c>
      <c r="C177" s="6">
        <v>13</v>
      </c>
    </row>
    <row r="178" spans="1:3" x14ac:dyDescent="0.25">
      <c r="A178" s="12" t="s">
        <v>23</v>
      </c>
      <c r="B178" s="12">
        <v>2014</v>
      </c>
      <c r="C178" s="6">
        <v>9</v>
      </c>
    </row>
    <row r="179" spans="1:3" x14ac:dyDescent="0.25">
      <c r="A179" s="12" t="s">
        <v>23</v>
      </c>
      <c r="B179" s="12">
        <v>2015</v>
      </c>
      <c r="C179" s="6">
        <v>28</v>
      </c>
    </row>
    <row r="180" spans="1:3" x14ac:dyDescent="0.25">
      <c r="A180" s="12" t="s">
        <v>23</v>
      </c>
      <c r="B180" s="12">
        <v>2016</v>
      </c>
      <c r="C180" s="6">
        <v>32</v>
      </c>
    </row>
    <row r="181" spans="1:3" x14ac:dyDescent="0.25">
      <c r="A181" s="12" t="s">
        <v>23</v>
      </c>
      <c r="B181" s="12">
        <v>2017</v>
      </c>
      <c r="C181" s="6">
        <v>55</v>
      </c>
    </row>
    <row r="182" spans="1:3" x14ac:dyDescent="0.25">
      <c r="A182" s="12" t="s">
        <v>23</v>
      </c>
      <c r="B182" s="12">
        <v>2018</v>
      </c>
      <c r="C182" s="6">
        <v>70</v>
      </c>
    </row>
    <row r="183" spans="1:3" x14ac:dyDescent="0.25">
      <c r="A183" s="12" t="s">
        <v>23</v>
      </c>
      <c r="B183" s="12">
        <v>2019</v>
      </c>
      <c r="C183" s="6">
        <v>79</v>
      </c>
    </row>
    <row r="184" spans="1:3" x14ac:dyDescent="0.25">
      <c r="A184" s="12" t="s">
        <v>23</v>
      </c>
      <c r="B184" s="12">
        <v>2020</v>
      </c>
      <c r="C184" s="6">
        <v>119</v>
      </c>
    </row>
    <row r="185" spans="1:3" x14ac:dyDescent="0.25">
      <c r="A185" s="12" t="s">
        <v>23</v>
      </c>
      <c r="B185" s="12">
        <v>2021</v>
      </c>
      <c r="C185" s="6">
        <v>129</v>
      </c>
    </row>
    <row r="186" spans="1:3" x14ac:dyDescent="0.25">
      <c r="A186" s="12" t="s">
        <v>23</v>
      </c>
      <c r="B186" s="12">
        <v>2022</v>
      </c>
      <c r="C186" s="6">
        <v>148</v>
      </c>
    </row>
    <row r="187" spans="1:3" x14ac:dyDescent="0.25">
      <c r="A187" s="12" t="s">
        <v>23</v>
      </c>
      <c r="B187" s="12">
        <v>2023</v>
      </c>
      <c r="C187" s="6">
        <v>175</v>
      </c>
    </row>
    <row r="188" spans="1:3" x14ac:dyDescent="0.25">
      <c r="A188" s="12" t="s">
        <v>23</v>
      </c>
      <c r="B188" s="12">
        <v>2024</v>
      </c>
      <c r="C188" s="6">
        <v>203</v>
      </c>
    </row>
    <row r="189" spans="1:3" x14ac:dyDescent="0.25">
      <c r="A189" s="12" t="s">
        <v>23</v>
      </c>
      <c r="B189" s="12">
        <v>2025</v>
      </c>
      <c r="C189" s="6">
        <v>300</v>
      </c>
    </row>
    <row r="190" spans="1:3" x14ac:dyDescent="0.25">
      <c r="A190" s="12" t="s">
        <v>23</v>
      </c>
      <c r="B190" s="12">
        <v>2026</v>
      </c>
      <c r="C190" s="6">
        <v>212</v>
      </c>
    </row>
    <row r="191" spans="1:3" x14ac:dyDescent="0.25">
      <c r="A191" s="12" t="s">
        <v>24</v>
      </c>
      <c r="B191" s="12">
        <v>2000</v>
      </c>
      <c r="C191" s="6">
        <v>0</v>
      </c>
    </row>
    <row r="192" spans="1:3" x14ac:dyDescent="0.25">
      <c r="A192" s="12" t="s">
        <v>24</v>
      </c>
      <c r="B192" s="12">
        <v>2001</v>
      </c>
      <c r="C192" s="6">
        <v>1</v>
      </c>
    </row>
    <row r="193" spans="1:3" x14ac:dyDescent="0.25">
      <c r="A193" s="12" t="s">
        <v>24</v>
      </c>
      <c r="B193" s="12">
        <v>2002</v>
      </c>
      <c r="C193" s="6">
        <v>1</v>
      </c>
    </row>
    <row r="194" spans="1:3" x14ac:dyDescent="0.25">
      <c r="A194" s="12" t="s">
        <v>24</v>
      </c>
      <c r="B194" s="12">
        <v>2003</v>
      </c>
      <c r="C194" s="6">
        <v>1</v>
      </c>
    </row>
    <row r="195" spans="1:3" x14ac:dyDescent="0.25">
      <c r="A195" s="12" t="s">
        <v>24</v>
      </c>
      <c r="B195" s="12">
        <v>2004</v>
      </c>
      <c r="C195" s="6">
        <v>1</v>
      </c>
    </row>
    <row r="196" spans="1:3" x14ac:dyDescent="0.25">
      <c r="A196" s="12" t="s">
        <v>24</v>
      </c>
      <c r="B196" s="12">
        <v>2005</v>
      </c>
      <c r="C196" s="6">
        <v>2</v>
      </c>
    </row>
    <row r="197" spans="1:3" x14ac:dyDescent="0.25">
      <c r="A197" s="12" t="s">
        <v>24</v>
      </c>
      <c r="B197" s="12">
        <v>2006</v>
      </c>
      <c r="C197" s="6">
        <v>14</v>
      </c>
    </row>
    <row r="198" spans="1:3" x14ac:dyDescent="0.25">
      <c r="A198" s="12" t="s">
        <v>24</v>
      </c>
      <c r="B198" s="12">
        <v>2007</v>
      </c>
      <c r="C198" s="6">
        <v>8</v>
      </c>
    </row>
    <row r="199" spans="1:3" x14ac:dyDescent="0.25">
      <c r="A199" s="12" t="s">
        <v>24</v>
      </c>
      <c r="B199" s="12">
        <v>2008</v>
      </c>
      <c r="C199" s="6">
        <v>12</v>
      </c>
    </row>
    <row r="200" spans="1:3" x14ac:dyDescent="0.25">
      <c r="A200" s="12" t="s">
        <v>24</v>
      </c>
      <c r="B200" s="12">
        <v>2009</v>
      </c>
      <c r="C200" s="6">
        <v>11</v>
      </c>
    </row>
    <row r="201" spans="1:3" x14ac:dyDescent="0.25">
      <c r="A201" s="12" t="s">
        <v>24</v>
      </c>
      <c r="B201" s="12">
        <v>2010</v>
      </c>
      <c r="C201" s="6">
        <v>8</v>
      </c>
    </row>
    <row r="202" spans="1:3" x14ac:dyDescent="0.25">
      <c r="A202" s="12" t="s">
        <v>24</v>
      </c>
      <c r="B202" s="12">
        <v>2011</v>
      </c>
      <c r="C202" s="6">
        <v>9</v>
      </c>
    </row>
    <row r="203" spans="1:3" x14ac:dyDescent="0.25">
      <c r="A203" s="12" t="s">
        <v>24</v>
      </c>
      <c r="B203" s="12">
        <v>2012</v>
      </c>
      <c r="C203" s="6">
        <v>9</v>
      </c>
    </row>
    <row r="204" spans="1:3" x14ac:dyDescent="0.25">
      <c r="A204" s="12" t="s">
        <v>24</v>
      </c>
      <c r="B204" s="12">
        <v>2013</v>
      </c>
      <c r="C204" s="6">
        <v>9</v>
      </c>
    </row>
    <row r="205" spans="1:3" x14ac:dyDescent="0.25">
      <c r="A205" s="12" t="s">
        <v>24</v>
      </c>
      <c r="B205" s="12">
        <v>2014</v>
      </c>
      <c r="C205" s="6">
        <v>12</v>
      </c>
    </row>
    <row r="206" spans="1:3" x14ac:dyDescent="0.25">
      <c r="A206" s="12" t="s">
        <v>24</v>
      </c>
      <c r="B206" s="12">
        <v>2015</v>
      </c>
      <c r="C206" s="6">
        <v>25</v>
      </c>
    </row>
    <row r="207" spans="1:3" x14ac:dyDescent="0.25">
      <c r="A207" s="12" t="s">
        <v>24</v>
      </c>
      <c r="B207" s="12">
        <v>2016</v>
      </c>
      <c r="C207" s="6">
        <v>26</v>
      </c>
    </row>
    <row r="208" spans="1:3" x14ac:dyDescent="0.25">
      <c r="A208" s="12" t="s">
        <v>24</v>
      </c>
      <c r="B208" s="12">
        <v>2017</v>
      </c>
      <c r="C208" s="6">
        <v>18</v>
      </c>
    </row>
    <row r="209" spans="1:3" x14ac:dyDescent="0.25">
      <c r="A209" s="12" t="s">
        <v>24</v>
      </c>
      <c r="B209" s="12">
        <v>2018</v>
      </c>
      <c r="C209" s="6">
        <v>45</v>
      </c>
    </row>
    <row r="210" spans="1:3" x14ac:dyDescent="0.25">
      <c r="A210" s="12" t="s">
        <v>24</v>
      </c>
      <c r="B210" s="12">
        <v>2019</v>
      </c>
      <c r="C210" s="6">
        <v>56</v>
      </c>
    </row>
    <row r="211" spans="1:3" x14ac:dyDescent="0.25">
      <c r="A211" s="12" t="s">
        <v>24</v>
      </c>
      <c r="B211" s="12">
        <v>2020</v>
      </c>
      <c r="C211" s="6">
        <v>85</v>
      </c>
    </row>
    <row r="212" spans="1:3" x14ac:dyDescent="0.25">
      <c r="A212" s="12" t="s">
        <v>24</v>
      </c>
      <c r="B212" s="12">
        <v>2021</v>
      </c>
      <c r="C212" s="6">
        <v>108</v>
      </c>
    </row>
    <row r="213" spans="1:3" x14ac:dyDescent="0.25">
      <c r="A213" s="12" t="s">
        <v>24</v>
      </c>
      <c r="B213" s="12">
        <v>2022</v>
      </c>
      <c r="C213" s="6">
        <v>132</v>
      </c>
    </row>
    <row r="214" spans="1:3" x14ac:dyDescent="0.25">
      <c r="A214" s="12" t="s">
        <v>24</v>
      </c>
      <c r="B214" s="12">
        <v>2023</v>
      </c>
      <c r="C214" s="6">
        <v>163</v>
      </c>
    </row>
    <row r="215" spans="1:3" x14ac:dyDescent="0.25">
      <c r="A215" s="12" t="s">
        <v>24</v>
      </c>
      <c r="B215" s="12">
        <v>2024</v>
      </c>
      <c r="C215" s="6">
        <v>225</v>
      </c>
    </row>
    <row r="216" spans="1:3" x14ac:dyDescent="0.25">
      <c r="A216" s="12" t="s">
        <v>24</v>
      </c>
      <c r="B216" s="12">
        <v>2025</v>
      </c>
      <c r="C216" s="6">
        <v>302</v>
      </c>
    </row>
    <row r="217" spans="1:3" x14ac:dyDescent="0.25">
      <c r="A217" s="12" t="s">
        <v>24</v>
      </c>
      <c r="B217" s="12">
        <v>2026</v>
      </c>
      <c r="C217" s="6">
        <v>253</v>
      </c>
    </row>
    <row r="218" spans="1:3" x14ac:dyDescent="0.25">
      <c r="A218" s="12" t="s">
        <v>25</v>
      </c>
      <c r="B218" s="12">
        <v>2000</v>
      </c>
      <c r="C218" s="6">
        <v>1</v>
      </c>
    </row>
    <row r="219" spans="1:3" x14ac:dyDescent="0.25">
      <c r="A219" s="12" t="s">
        <v>25</v>
      </c>
      <c r="B219" s="12">
        <v>2001</v>
      </c>
      <c r="C219" s="6">
        <v>0</v>
      </c>
    </row>
    <row r="220" spans="1:3" x14ac:dyDescent="0.25">
      <c r="A220" s="12" t="s">
        <v>25</v>
      </c>
      <c r="B220" s="12">
        <v>2002</v>
      </c>
      <c r="C220" s="6">
        <v>1</v>
      </c>
    </row>
    <row r="221" spans="1:3" x14ac:dyDescent="0.25">
      <c r="A221" s="12" t="s">
        <v>25</v>
      </c>
      <c r="B221" s="12">
        <v>2003</v>
      </c>
      <c r="C221" s="6">
        <v>0</v>
      </c>
    </row>
    <row r="222" spans="1:3" x14ac:dyDescent="0.25">
      <c r="A222" s="12" t="s">
        <v>25</v>
      </c>
      <c r="B222" s="12">
        <v>2004</v>
      </c>
      <c r="C222" s="6">
        <v>2</v>
      </c>
    </row>
    <row r="223" spans="1:3" x14ac:dyDescent="0.25">
      <c r="A223" s="12" t="s">
        <v>25</v>
      </c>
      <c r="B223" s="12">
        <v>2005</v>
      </c>
      <c r="C223" s="6">
        <v>4</v>
      </c>
    </row>
    <row r="224" spans="1:3" x14ac:dyDescent="0.25">
      <c r="A224" s="12" t="s">
        <v>25</v>
      </c>
      <c r="B224" s="12">
        <v>2006</v>
      </c>
      <c r="C224" s="6">
        <v>2</v>
      </c>
    </row>
    <row r="225" spans="1:3" x14ac:dyDescent="0.25">
      <c r="A225" s="12" t="s">
        <v>25</v>
      </c>
      <c r="B225" s="12">
        <v>2007</v>
      </c>
      <c r="C225" s="6">
        <v>1</v>
      </c>
    </row>
    <row r="226" spans="1:3" x14ac:dyDescent="0.25">
      <c r="A226" s="12" t="s">
        <v>25</v>
      </c>
      <c r="B226" s="12">
        <v>2008</v>
      </c>
      <c r="C226" s="6">
        <v>1</v>
      </c>
    </row>
    <row r="227" spans="1:3" x14ac:dyDescent="0.25">
      <c r="A227" s="12" t="s">
        <v>25</v>
      </c>
      <c r="B227" s="12">
        <v>2009</v>
      </c>
      <c r="C227" s="6">
        <v>1</v>
      </c>
    </row>
    <row r="228" spans="1:3" x14ac:dyDescent="0.25">
      <c r="A228" s="12" t="s">
        <v>25</v>
      </c>
      <c r="B228" s="12">
        <v>2010</v>
      </c>
      <c r="C228" s="6">
        <v>3</v>
      </c>
    </row>
    <row r="229" spans="1:3" x14ac:dyDescent="0.25">
      <c r="A229" s="12" t="s">
        <v>25</v>
      </c>
      <c r="B229" s="12">
        <v>2011</v>
      </c>
      <c r="C229" s="6">
        <v>4</v>
      </c>
    </row>
    <row r="230" spans="1:3" x14ac:dyDescent="0.25">
      <c r="A230" s="12" t="s">
        <v>25</v>
      </c>
      <c r="B230" s="12">
        <v>2012</v>
      </c>
      <c r="C230" s="6">
        <v>4</v>
      </c>
    </row>
    <row r="231" spans="1:3" x14ac:dyDescent="0.25">
      <c r="A231" s="12" t="s">
        <v>25</v>
      </c>
      <c r="B231" s="12">
        <v>2013</v>
      </c>
      <c r="C231" s="6">
        <v>12</v>
      </c>
    </row>
    <row r="232" spans="1:3" x14ac:dyDescent="0.25">
      <c r="A232" s="12" t="s">
        <v>25</v>
      </c>
      <c r="B232" s="12">
        <v>2014</v>
      </c>
      <c r="C232" s="6">
        <v>16</v>
      </c>
    </row>
    <row r="233" spans="1:3" x14ac:dyDescent="0.25">
      <c r="A233" s="12" t="s">
        <v>25</v>
      </c>
      <c r="B233" s="12">
        <v>2015</v>
      </c>
      <c r="C233" s="6">
        <v>33</v>
      </c>
    </row>
    <row r="234" spans="1:3" x14ac:dyDescent="0.25">
      <c r="A234" s="12" t="s">
        <v>25</v>
      </c>
      <c r="B234" s="12">
        <v>2016</v>
      </c>
      <c r="C234" s="6">
        <v>28</v>
      </c>
    </row>
    <row r="235" spans="1:3" x14ac:dyDescent="0.25">
      <c r="A235" s="12" t="s">
        <v>25</v>
      </c>
      <c r="B235" s="12">
        <v>2017</v>
      </c>
      <c r="C235" s="6">
        <v>38</v>
      </c>
    </row>
    <row r="236" spans="1:3" x14ac:dyDescent="0.25">
      <c r="A236" s="12" t="s">
        <v>25</v>
      </c>
      <c r="B236" s="12">
        <v>2018</v>
      </c>
      <c r="C236" s="6">
        <v>55</v>
      </c>
    </row>
    <row r="237" spans="1:3" x14ac:dyDescent="0.25">
      <c r="A237" s="12" t="s">
        <v>25</v>
      </c>
      <c r="B237" s="12">
        <v>2019</v>
      </c>
      <c r="C237" s="6">
        <v>79</v>
      </c>
    </row>
    <row r="238" spans="1:3" x14ac:dyDescent="0.25">
      <c r="A238" s="12" t="s">
        <v>25</v>
      </c>
      <c r="B238" s="12">
        <v>2020</v>
      </c>
      <c r="C238" s="6">
        <v>98</v>
      </c>
    </row>
    <row r="239" spans="1:3" x14ac:dyDescent="0.25">
      <c r="A239" s="12" t="s">
        <v>25</v>
      </c>
      <c r="B239" s="12">
        <v>2021</v>
      </c>
      <c r="C239" s="6">
        <v>123</v>
      </c>
    </row>
    <row r="240" spans="1:3" x14ac:dyDescent="0.25">
      <c r="A240" s="12" t="s">
        <v>25</v>
      </c>
      <c r="B240" s="12">
        <v>2022</v>
      </c>
      <c r="C240" s="6">
        <v>117</v>
      </c>
    </row>
    <row r="241" spans="1:3" x14ac:dyDescent="0.25">
      <c r="A241" s="12" t="s">
        <v>25</v>
      </c>
      <c r="B241" s="12">
        <v>2023</v>
      </c>
      <c r="C241" s="6">
        <v>177</v>
      </c>
    </row>
    <row r="242" spans="1:3" x14ac:dyDescent="0.25">
      <c r="A242" s="12" t="s">
        <v>25</v>
      </c>
      <c r="B242" s="12">
        <v>2024</v>
      </c>
      <c r="C242" s="6">
        <v>245</v>
      </c>
    </row>
    <row r="243" spans="1:3" x14ac:dyDescent="0.25">
      <c r="A243" s="12" t="s">
        <v>25</v>
      </c>
      <c r="B243" s="12">
        <v>2025</v>
      </c>
      <c r="C243" s="6">
        <v>441</v>
      </c>
    </row>
    <row r="244" spans="1:3" x14ac:dyDescent="0.25">
      <c r="A244" s="12" t="s">
        <v>25</v>
      </c>
      <c r="B244" s="12">
        <v>2026</v>
      </c>
      <c r="C244" s="6">
        <v>326</v>
      </c>
    </row>
    <row r="245" spans="1:3" x14ac:dyDescent="0.25">
      <c r="A245" s="12" t="s">
        <v>18</v>
      </c>
      <c r="B245" s="12">
        <v>2000</v>
      </c>
      <c r="C245" s="6">
        <v>114093</v>
      </c>
    </row>
    <row r="246" spans="1:3" x14ac:dyDescent="0.25">
      <c r="A246" s="12" t="s">
        <v>18</v>
      </c>
      <c r="B246" s="12">
        <v>2001</v>
      </c>
      <c r="C246" s="6">
        <v>103332</v>
      </c>
    </row>
    <row r="247" spans="1:3" x14ac:dyDescent="0.25">
      <c r="A247" s="12" t="s">
        <v>18</v>
      </c>
      <c r="B247" s="12">
        <v>2002</v>
      </c>
      <c r="C247" s="6">
        <v>113747</v>
      </c>
    </row>
    <row r="248" spans="1:3" x14ac:dyDescent="0.25">
      <c r="A248" s="12" t="s">
        <v>18</v>
      </c>
      <c r="B248" s="12">
        <v>2003</v>
      </c>
      <c r="C248" s="6">
        <v>124358</v>
      </c>
    </row>
    <row r="249" spans="1:3" x14ac:dyDescent="0.25">
      <c r="A249" s="12" t="s">
        <v>18</v>
      </c>
      <c r="B249" s="12">
        <v>2004</v>
      </c>
      <c r="C249" s="6">
        <v>133188</v>
      </c>
    </row>
    <row r="250" spans="1:3" x14ac:dyDescent="0.25">
      <c r="A250" s="12" t="s">
        <v>18</v>
      </c>
      <c r="B250" s="12">
        <v>2005</v>
      </c>
      <c r="C250" s="6">
        <v>146190</v>
      </c>
    </row>
    <row r="251" spans="1:3" x14ac:dyDescent="0.25">
      <c r="A251" s="12" t="s">
        <v>18</v>
      </c>
      <c r="B251" s="12">
        <v>2006</v>
      </c>
      <c r="C251" s="6">
        <v>160355</v>
      </c>
    </row>
    <row r="252" spans="1:3" x14ac:dyDescent="0.25">
      <c r="A252" s="12" t="s">
        <v>18</v>
      </c>
      <c r="B252" s="12">
        <v>2007</v>
      </c>
      <c r="C252" s="6">
        <v>171031</v>
      </c>
    </row>
    <row r="253" spans="1:3" x14ac:dyDescent="0.25">
      <c r="A253" s="12" t="s">
        <v>18</v>
      </c>
      <c r="B253" s="12">
        <v>2008</v>
      </c>
      <c r="C253" s="6">
        <v>184773</v>
      </c>
    </row>
    <row r="254" spans="1:3" x14ac:dyDescent="0.25">
      <c r="A254" s="12" t="s">
        <v>18</v>
      </c>
      <c r="B254" s="12">
        <v>2009</v>
      </c>
      <c r="C254" s="6">
        <v>202040</v>
      </c>
    </row>
    <row r="255" spans="1:3" x14ac:dyDescent="0.25">
      <c r="A255" s="12" t="s">
        <v>18</v>
      </c>
      <c r="B255" s="12">
        <v>2010</v>
      </c>
      <c r="C255" s="6">
        <v>217628</v>
      </c>
    </row>
    <row r="256" spans="1:3" x14ac:dyDescent="0.25">
      <c r="A256" s="12" t="s">
        <v>18</v>
      </c>
      <c r="B256" s="12">
        <v>2011</v>
      </c>
      <c r="C256" s="6">
        <v>227361</v>
      </c>
    </row>
    <row r="257" spans="1:3" x14ac:dyDescent="0.25">
      <c r="A257" s="12" t="s">
        <v>18</v>
      </c>
      <c r="B257" s="12">
        <v>2012</v>
      </c>
      <c r="C257" s="6">
        <v>242276</v>
      </c>
    </row>
    <row r="258" spans="1:3" x14ac:dyDescent="0.25">
      <c r="A258" s="12" t="s">
        <v>18</v>
      </c>
      <c r="B258" s="12">
        <v>2013</v>
      </c>
      <c r="C258" s="6">
        <v>256633</v>
      </c>
    </row>
    <row r="259" spans="1:3" x14ac:dyDescent="0.25">
      <c r="A259" s="12" t="s">
        <v>18</v>
      </c>
      <c r="B259" s="12">
        <v>2014</v>
      </c>
      <c r="C259" s="6">
        <v>265087</v>
      </c>
    </row>
    <row r="260" spans="1:3" x14ac:dyDescent="0.25">
      <c r="A260" s="12" t="s">
        <v>18</v>
      </c>
      <c r="B260" s="12">
        <v>2015</v>
      </c>
      <c r="C260" s="6">
        <v>261721</v>
      </c>
    </row>
    <row r="261" spans="1:3" x14ac:dyDescent="0.25">
      <c r="A261" s="12" t="s">
        <v>18</v>
      </c>
      <c r="B261" s="12">
        <v>2016</v>
      </c>
      <c r="C261" s="6">
        <v>258974</v>
      </c>
    </row>
    <row r="262" spans="1:3" x14ac:dyDescent="0.25">
      <c r="A262" s="12" t="s">
        <v>18</v>
      </c>
      <c r="B262" s="12">
        <v>2017</v>
      </c>
      <c r="C262" s="6">
        <v>253576</v>
      </c>
    </row>
    <row r="263" spans="1:3" x14ac:dyDescent="0.25">
      <c r="A263" s="12" t="s">
        <v>18</v>
      </c>
      <c r="B263" s="12">
        <v>2018</v>
      </c>
      <c r="C263" s="6">
        <v>261409</v>
      </c>
    </row>
    <row r="264" spans="1:3" x14ac:dyDescent="0.25">
      <c r="A264" s="12" t="s">
        <v>18</v>
      </c>
      <c r="B264" s="12">
        <v>2019</v>
      </c>
      <c r="C264" s="6">
        <v>272075</v>
      </c>
    </row>
    <row r="265" spans="1:3" x14ac:dyDescent="0.25">
      <c r="A265" s="12" t="s">
        <v>18</v>
      </c>
      <c r="B265" s="12">
        <v>2020</v>
      </c>
      <c r="C265" s="6">
        <v>287808</v>
      </c>
    </row>
    <row r="266" spans="1:3" x14ac:dyDescent="0.25">
      <c r="A266" s="12" t="s">
        <v>18</v>
      </c>
      <c r="B266" s="12">
        <v>2021</v>
      </c>
      <c r="C266" s="6">
        <v>286429</v>
      </c>
    </row>
    <row r="267" spans="1:3" x14ac:dyDescent="0.25">
      <c r="A267" s="12" t="s">
        <v>18</v>
      </c>
      <c r="B267" s="12">
        <v>2022</v>
      </c>
      <c r="C267" s="6">
        <v>274473</v>
      </c>
    </row>
    <row r="268" spans="1:3" x14ac:dyDescent="0.25">
      <c r="A268" s="12" t="s">
        <v>18</v>
      </c>
      <c r="B268" s="12">
        <v>2023</v>
      </c>
      <c r="C268" s="6">
        <v>284270</v>
      </c>
    </row>
    <row r="269" spans="1:3" x14ac:dyDescent="0.25">
      <c r="A269" s="12" t="s">
        <v>18</v>
      </c>
      <c r="B269" s="12">
        <v>2024</v>
      </c>
      <c r="C269" s="6">
        <v>307291</v>
      </c>
    </row>
    <row r="270" spans="1:3" x14ac:dyDescent="0.25">
      <c r="A270" s="12" t="s">
        <v>18</v>
      </c>
      <c r="B270" s="12">
        <v>2025</v>
      </c>
      <c r="C270" s="6">
        <v>368095</v>
      </c>
    </row>
    <row r="271" spans="1:3" x14ac:dyDescent="0.25">
      <c r="A271" s="12" t="s">
        <v>18</v>
      </c>
      <c r="B271" s="12">
        <v>2026</v>
      </c>
      <c r="C271" s="6">
        <v>280645</v>
      </c>
    </row>
    <row r="272" spans="1:3" x14ac:dyDescent="0.25">
      <c r="A272" s="12" t="s">
        <v>19</v>
      </c>
      <c r="B272" s="12">
        <v>2000</v>
      </c>
      <c r="C272" s="6">
        <v>2859065</v>
      </c>
    </row>
    <row r="273" spans="1:3" x14ac:dyDescent="0.25">
      <c r="A273" s="12" t="s">
        <v>19</v>
      </c>
      <c r="B273" s="12">
        <v>2001</v>
      </c>
      <c r="C273" s="6">
        <v>2818431</v>
      </c>
    </row>
    <row r="274" spans="1:3" x14ac:dyDescent="0.25">
      <c r="A274" s="12" t="s">
        <v>19</v>
      </c>
      <c r="B274" s="12">
        <v>2002</v>
      </c>
      <c r="C274" s="6">
        <v>3050120</v>
      </c>
    </row>
    <row r="275" spans="1:3" x14ac:dyDescent="0.25">
      <c r="A275" s="12" t="s">
        <v>19</v>
      </c>
      <c r="B275" s="12">
        <v>2003</v>
      </c>
      <c r="C275" s="6">
        <v>3336963</v>
      </c>
    </row>
    <row r="276" spans="1:3" x14ac:dyDescent="0.25">
      <c r="A276" s="12" t="s">
        <v>19</v>
      </c>
      <c r="B276" s="12">
        <v>2004</v>
      </c>
      <c r="C276" s="6">
        <v>3609553</v>
      </c>
    </row>
    <row r="277" spans="1:3" x14ac:dyDescent="0.25">
      <c r="A277" s="12" t="s">
        <v>19</v>
      </c>
      <c r="B277" s="12">
        <v>2005</v>
      </c>
      <c r="C277" s="6">
        <v>3845572</v>
      </c>
    </row>
    <row r="278" spans="1:3" x14ac:dyDescent="0.25">
      <c r="A278" s="12" t="s">
        <v>19</v>
      </c>
      <c r="B278" s="12">
        <v>2006</v>
      </c>
      <c r="C278" s="6">
        <v>4178171</v>
      </c>
    </row>
    <row r="279" spans="1:3" x14ac:dyDescent="0.25">
      <c r="A279" s="12" t="s">
        <v>19</v>
      </c>
      <c r="B279" s="12">
        <v>2007</v>
      </c>
      <c r="C279" s="6">
        <v>4420227</v>
      </c>
    </row>
    <row r="280" spans="1:3" x14ac:dyDescent="0.25">
      <c r="A280" s="12" t="s">
        <v>19</v>
      </c>
      <c r="B280" s="12">
        <v>2008</v>
      </c>
      <c r="C280" s="6">
        <v>4844941</v>
      </c>
    </row>
    <row r="281" spans="1:3" x14ac:dyDescent="0.25">
      <c r="A281" s="12" t="s">
        <v>19</v>
      </c>
      <c r="B281" s="12">
        <v>2009</v>
      </c>
      <c r="C281" s="6">
        <v>5126531</v>
      </c>
    </row>
    <row r="282" spans="1:3" x14ac:dyDescent="0.25">
      <c r="A282" s="12" t="s">
        <v>19</v>
      </c>
      <c r="B282" s="12">
        <v>2010</v>
      </c>
      <c r="C282" s="6">
        <v>5415093</v>
      </c>
    </row>
    <row r="283" spans="1:3" x14ac:dyDescent="0.25">
      <c r="A283" s="12" t="s">
        <v>19</v>
      </c>
      <c r="B283" s="12">
        <v>2011</v>
      </c>
      <c r="C283" s="6">
        <v>5684721</v>
      </c>
    </row>
    <row r="284" spans="1:3" x14ac:dyDescent="0.25">
      <c r="A284" s="12" t="s">
        <v>19</v>
      </c>
      <c r="B284" s="12">
        <v>2012</v>
      </c>
      <c r="C284" s="6">
        <v>5916987</v>
      </c>
    </row>
    <row r="285" spans="1:3" x14ac:dyDescent="0.25">
      <c r="A285" s="12" t="s">
        <v>19</v>
      </c>
      <c r="B285" s="12">
        <v>2013</v>
      </c>
      <c r="C285" s="6">
        <v>6187616</v>
      </c>
    </row>
    <row r="286" spans="1:3" x14ac:dyDescent="0.25">
      <c r="A286" s="12" t="s">
        <v>19</v>
      </c>
      <c r="B286" s="12">
        <v>2014</v>
      </c>
      <c r="C286" s="6">
        <v>6383216</v>
      </c>
    </row>
    <row r="287" spans="1:3" x14ac:dyDescent="0.25">
      <c r="A287" s="12" t="s">
        <v>19</v>
      </c>
      <c r="B287" s="12">
        <v>2015</v>
      </c>
      <c r="C287" s="6">
        <v>6450528</v>
      </c>
    </row>
    <row r="288" spans="1:3" x14ac:dyDescent="0.25">
      <c r="A288" s="12" t="s">
        <v>19</v>
      </c>
      <c r="B288" s="12">
        <v>2016</v>
      </c>
      <c r="C288" s="6">
        <v>6461027</v>
      </c>
    </row>
    <row r="289" spans="1:3" x14ac:dyDescent="0.25">
      <c r="A289" s="12" t="s">
        <v>19</v>
      </c>
      <c r="B289" s="12">
        <v>2017</v>
      </c>
      <c r="C289" s="6">
        <v>6145813</v>
      </c>
    </row>
    <row r="290" spans="1:3" x14ac:dyDescent="0.25">
      <c r="A290" s="12" t="s">
        <v>19</v>
      </c>
      <c r="B290" s="12">
        <v>2018</v>
      </c>
      <c r="C290" s="6">
        <v>5995254</v>
      </c>
    </row>
    <row r="291" spans="1:3" x14ac:dyDescent="0.25">
      <c r="A291" s="12" t="s">
        <v>19</v>
      </c>
      <c r="B291" s="12">
        <v>2019</v>
      </c>
      <c r="C291" s="6">
        <v>6258798</v>
      </c>
    </row>
    <row r="292" spans="1:3" x14ac:dyDescent="0.25">
      <c r="A292" s="12" t="s">
        <v>19</v>
      </c>
      <c r="B292" s="12">
        <v>2020</v>
      </c>
      <c r="C292" s="6">
        <v>6602263</v>
      </c>
    </row>
    <row r="293" spans="1:3" x14ac:dyDescent="0.25">
      <c r="A293" s="12" t="s">
        <v>19</v>
      </c>
      <c r="B293" s="12">
        <v>2021</v>
      </c>
      <c r="C293" s="6">
        <v>6126873</v>
      </c>
    </row>
    <row r="294" spans="1:3" x14ac:dyDescent="0.25">
      <c r="A294" s="12" t="s">
        <v>19</v>
      </c>
      <c r="B294" s="12">
        <v>2022</v>
      </c>
      <c r="C294" s="6">
        <v>5606541</v>
      </c>
    </row>
    <row r="295" spans="1:3" x14ac:dyDescent="0.25">
      <c r="A295" s="12" t="s">
        <v>19</v>
      </c>
      <c r="B295" s="12">
        <v>2023</v>
      </c>
      <c r="C295" s="6">
        <v>5743340</v>
      </c>
    </row>
    <row r="296" spans="1:3" x14ac:dyDescent="0.25">
      <c r="A296" s="12" t="s">
        <v>19</v>
      </c>
      <c r="B296" s="12">
        <v>2024</v>
      </c>
      <c r="C296" s="6">
        <v>6073854</v>
      </c>
    </row>
    <row r="297" spans="1:3" x14ac:dyDescent="0.25">
      <c r="A297" s="12" t="s">
        <v>19</v>
      </c>
      <c r="B297" s="12">
        <v>2025</v>
      </c>
      <c r="C297" s="6">
        <v>7188012</v>
      </c>
    </row>
    <row r="298" spans="1:3" x14ac:dyDescent="0.25">
      <c r="A298" s="12" t="s">
        <v>19</v>
      </c>
      <c r="B298" s="12">
        <v>2026</v>
      </c>
      <c r="C298" s="6">
        <v>5569632</v>
      </c>
    </row>
    <row r="299" spans="1:3" x14ac:dyDescent="0.25">
      <c r="A299" s="12" t="s">
        <v>26</v>
      </c>
      <c r="B299" s="12">
        <v>2016</v>
      </c>
      <c r="C299" s="6">
        <v>2</v>
      </c>
    </row>
    <row r="300" spans="1:3" x14ac:dyDescent="0.25">
      <c r="A300" s="12" t="s">
        <v>26</v>
      </c>
      <c r="B300" s="12">
        <v>2017</v>
      </c>
      <c r="C300" s="6">
        <v>1</v>
      </c>
    </row>
    <row r="301" spans="1:3" x14ac:dyDescent="0.25">
      <c r="A301" s="12" t="s">
        <v>26</v>
      </c>
      <c r="B301" s="12">
        <v>2018</v>
      </c>
      <c r="C301" s="6">
        <v>1</v>
      </c>
    </row>
    <row r="302" spans="1:3" x14ac:dyDescent="0.25">
      <c r="A302" s="12" t="s">
        <v>26</v>
      </c>
      <c r="B302" s="12">
        <v>2019</v>
      </c>
      <c r="C302" s="6">
        <v>5</v>
      </c>
    </row>
    <row r="303" spans="1:3" x14ac:dyDescent="0.25">
      <c r="A303" s="12" t="s">
        <v>26</v>
      </c>
      <c r="B303" s="12">
        <v>2020</v>
      </c>
      <c r="C303" s="6">
        <v>5</v>
      </c>
    </row>
    <row r="304" spans="1:3" x14ac:dyDescent="0.25">
      <c r="A304" s="12" t="s">
        <v>26</v>
      </c>
      <c r="B304" s="12">
        <v>2021</v>
      </c>
      <c r="C304" s="6">
        <v>9</v>
      </c>
    </row>
    <row r="305" spans="1:3" x14ac:dyDescent="0.25">
      <c r="A305" s="12" t="s">
        <v>26</v>
      </c>
      <c r="B305" s="12">
        <v>2022</v>
      </c>
      <c r="C305" s="6">
        <v>8</v>
      </c>
    </row>
    <row r="306" spans="1:3" x14ac:dyDescent="0.25">
      <c r="A306" s="12" t="s">
        <v>26</v>
      </c>
      <c r="B306" s="12">
        <v>2023</v>
      </c>
      <c r="C306" s="6">
        <v>8</v>
      </c>
    </row>
    <row r="307" spans="1:3" x14ac:dyDescent="0.25">
      <c r="A307" s="12" t="s">
        <v>26</v>
      </c>
      <c r="B307" s="12">
        <v>2024</v>
      </c>
      <c r="C307" s="6">
        <v>5</v>
      </c>
    </row>
    <row r="308" spans="1:3" x14ac:dyDescent="0.25">
      <c r="A308" s="12" t="s">
        <v>26</v>
      </c>
      <c r="B308" s="12">
        <v>2025</v>
      </c>
      <c r="C308" s="6">
        <v>18</v>
      </c>
    </row>
    <row r="309" spans="1:3" x14ac:dyDescent="0.25">
      <c r="A309" s="12" t="s">
        <v>27</v>
      </c>
      <c r="B309" s="12">
        <v>2005</v>
      </c>
      <c r="C309" s="6">
        <v>3176</v>
      </c>
    </row>
    <row r="310" spans="1:3" x14ac:dyDescent="0.25">
      <c r="A310" s="12" t="s">
        <v>27</v>
      </c>
      <c r="B310" s="12">
        <v>2006</v>
      </c>
      <c r="C310" s="6">
        <v>3835</v>
      </c>
    </row>
    <row r="311" spans="1:3" x14ac:dyDescent="0.25">
      <c r="A311" s="12" t="s">
        <v>27</v>
      </c>
      <c r="B311" s="12">
        <v>2007</v>
      </c>
      <c r="C311" s="6">
        <v>4755</v>
      </c>
    </row>
    <row r="312" spans="1:3" x14ac:dyDescent="0.25">
      <c r="A312" s="12" t="s">
        <v>27</v>
      </c>
      <c r="B312" s="12">
        <v>2008</v>
      </c>
      <c r="C312" s="6">
        <v>6456</v>
      </c>
    </row>
    <row r="313" spans="1:3" x14ac:dyDescent="0.25">
      <c r="A313" s="12" t="s">
        <v>27</v>
      </c>
      <c r="B313" s="12">
        <v>2009</v>
      </c>
      <c r="C313" s="6">
        <v>7275</v>
      </c>
    </row>
    <row r="314" spans="1:3" x14ac:dyDescent="0.25">
      <c r="A314" s="12" t="s">
        <v>27</v>
      </c>
      <c r="B314" s="12">
        <v>2010</v>
      </c>
      <c r="C314" s="6">
        <v>7775</v>
      </c>
    </row>
    <row r="315" spans="1:3" x14ac:dyDescent="0.25">
      <c r="A315" s="12" t="s">
        <v>27</v>
      </c>
      <c r="B315" s="12">
        <v>2011</v>
      </c>
      <c r="C315" s="6">
        <v>8367</v>
      </c>
    </row>
    <row r="316" spans="1:3" x14ac:dyDescent="0.25">
      <c r="A316" s="12" t="s">
        <v>27</v>
      </c>
      <c r="B316" s="12">
        <v>2012</v>
      </c>
      <c r="C316" s="6">
        <v>8778</v>
      </c>
    </row>
    <row r="317" spans="1:3" x14ac:dyDescent="0.25">
      <c r="A317" s="12" t="s">
        <v>27</v>
      </c>
      <c r="B317" s="12">
        <v>2013</v>
      </c>
      <c r="C317" s="6">
        <v>8803</v>
      </c>
    </row>
    <row r="318" spans="1:3" x14ac:dyDescent="0.25">
      <c r="A318" s="12" t="s">
        <v>27</v>
      </c>
      <c r="B318" s="12">
        <v>2014</v>
      </c>
      <c r="C318" s="6">
        <v>9278</v>
      </c>
    </row>
    <row r="319" spans="1:3" x14ac:dyDescent="0.25">
      <c r="A319" s="12" t="s">
        <v>27</v>
      </c>
      <c r="B319" s="12">
        <v>2015</v>
      </c>
      <c r="C319" s="6">
        <v>9386</v>
      </c>
    </row>
    <row r="320" spans="1:3" x14ac:dyDescent="0.25">
      <c r="A320" s="12" t="s">
        <v>27</v>
      </c>
      <c r="B320" s="12">
        <v>2016</v>
      </c>
      <c r="C320" s="6">
        <v>10105</v>
      </c>
    </row>
    <row r="321" spans="1:3" x14ac:dyDescent="0.25">
      <c r="A321" s="12" t="s">
        <v>27</v>
      </c>
      <c r="B321" s="12">
        <v>2017</v>
      </c>
      <c r="C321" s="6">
        <v>9870</v>
      </c>
    </row>
    <row r="322" spans="1:3" x14ac:dyDescent="0.25">
      <c r="A322" s="12" t="s">
        <v>27</v>
      </c>
      <c r="B322" s="12">
        <v>2018</v>
      </c>
      <c r="C322" s="6">
        <v>10719</v>
      </c>
    </row>
    <row r="323" spans="1:3" x14ac:dyDescent="0.25">
      <c r="A323" s="12" t="s">
        <v>27</v>
      </c>
      <c r="B323" s="12">
        <v>2019</v>
      </c>
      <c r="C323" s="6">
        <v>10229</v>
      </c>
    </row>
    <row r="324" spans="1:3" x14ac:dyDescent="0.25">
      <c r="A324" s="12" t="s">
        <v>27</v>
      </c>
      <c r="B324" s="12">
        <v>2020</v>
      </c>
      <c r="C324" s="6">
        <v>11037</v>
      </c>
    </row>
    <row r="325" spans="1:3" x14ac:dyDescent="0.25">
      <c r="A325" s="12" t="s">
        <v>27</v>
      </c>
      <c r="B325" s="12">
        <v>2021</v>
      </c>
      <c r="C325" s="6">
        <v>11502</v>
      </c>
    </row>
    <row r="326" spans="1:3" x14ac:dyDescent="0.25">
      <c r="A326" s="12" t="s">
        <v>27</v>
      </c>
      <c r="B326" s="12">
        <v>2022</v>
      </c>
      <c r="C326" s="6">
        <v>11531</v>
      </c>
    </row>
    <row r="327" spans="1:3" x14ac:dyDescent="0.25">
      <c r="A327" s="12" t="s">
        <v>27</v>
      </c>
      <c r="B327" s="12">
        <v>2023</v>
      </c>
      <c r="C327" s="6">
        <v>11643</v>
      </c>
    </row>
    <row r="328" spans="1:3" x14ac:dyDescent="0.25">
      <c r="A328" s="12" t="s">
        <v>27</v>
      </c>
      <c r="B328" s="12">
        <v>2024</v>
      </c>
      <c r="C328" s="6">
        <v>12081</v>
      </c>
    </row>
    <row r="329" spans="1:3" x14ac:dyDescent="0.25">
      <c r="A329" s="12" t="s">
        <v>27</v>
      </c>
      <c r="B329" s="12">
        <v>2025</v>
      </c>
      <c r="C329" s="6">
        <v>13373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zoomScaleNormal="100" workbookViewId="0"/>
  </sheetViews>
  <sheetFormatPr defaultColWidth="8.7109375" defaultRowHeight="15" x14ac:dyDescent="0.25"/>
  <cols>
    <col min="1" max="1" width="20" customWidth="1"/>
    <col min="2" max="2" width="110" customWidth="1"/>
    <col min="3" max="3" width="14" customWidth="1"/>
  </cols>
  <sheetData>
    <row r="1" spans="1:3" x14ac:dyDescent="0.25">
      <c r="A1" s="3" t="s">
        <v>49</v>
      </c>
      <c r="B1" s="3" t="s">
        <v>50</v>
      </c>
      <c r="C1" s="3" t="s">
        <v>51</v>
      </c>
    </row>
    <row r="2" spans="1:3" ht="25.5" x14ac:dyDescent="0.25">
      <c r="A2" s="13" t="s">
        <v>52</v>
      </c>
      <c r="B2" s="13" t="s">
        <v>53</v>
      </c>
      <c r="C2" s="13" t="s">
        <v>54</v>
      </c>
    </row>
    <row r="3" spans="1:3" ht="38.25" x14ac:dyDescent="0.25">
      <c r="A3" s="13" t="s">
        <v>55</v>
      </c>
      <c r="B3" s="13" t="s">
        <v>56</v>
      </c>
      <c r="C3" s="13" t="s">
        <v>54</v>
      </c>
    </row>
    <row r="4" spans="1:3" x14ac:dyDescent="0.25">
      <c r="A4" s="13" t="s">
        <v>15</v>
      </c>
      <c r="B4" s="13" t="s">
        <v>57</v>
      </c>
      <c r="C4" s="13" t="s">
        <v>58</v>
      </c>
    </row>
    <row r="5" spans="1:3" x14ac:dyDescent="0.25">
      <c r="A5" s="13" t="s">
        <v>16</v>
      </c>
      <c r="B5" s="13" t="s">
        <v>59</v>
      </c>
      <c r="C5" s="13" t="s">
        <v>60</v>
      </c>
    </row>
    <row r="6" spans="1:3" x14ac:dyDescent="0.25">
      <c r="A6" s="13" t="s">
        <v>17</v>
      </c>
      <c r="B6" s="13" t="s">
        <v>61</v>
      </c>
      <c r="C6" s="13" t="s">
        <v>62</v>
      </c>
    </row>
    <row r="7" spans="1:3" x14ac:dyDescent="0.25">
      <c r="A7" s="13" t="s">
        <v>18</v>
      </c>
      <c r="B7" s="13" t="s">
        <v>63</v>
      </c>
      <c r="C7" s="13" t="s">
        <v>64</v>
      </c>
    </row>
    <row r="8" spans="1:3" x14ac:dyDescent="0.25">
      <c r="A8" s="13" t="s">
        <v>19</v>
      </c>
      <c r="B8" s="13" t="s">
        <v>65</v>
      </c>
      <c r="C8" s="13" t="s">
        <v>66</v>
      </c>
    </row>
    <row r="9" spans="1:3" ht="38.25" x14ac:dyDescent="0.25">
      <c r="A9" s="13" t="s">
        <v>20</v>
      </c>
      <c r="B9" s="13" t="s">
        <v>67</v>
      </c>
      <c r="C9" s="13" t="s">
        <v>68</v>
      </c>
    </row>
    <row r="10" spans="1:3" ht="25.5" x14ac:dyDescent="0.25">
      <c r="A10" s="13" t="s">
        <v>21</v>
      </c>
      <c r="B10" s="13" t="s">
        <v>69</v>
      </c>
      <c r="C10" s="13" t="s">
        <v>68</v>
      </c>
    </row>
    <row r="11" spans="1:3" ht="25.5" x14ac:dyDescent="0.25">
      <c r="A11" s="13" t="s">
        <v>22</v>
      </c>
      <c r="B11" s="13" t="s">
        <v>70</v>
      </c>
      <c r="C11" s="13" t="s">
        <v>68</v>
      </c>
    </row>
    <row r="12" spans="1:3" ht="25.5" x14ac:dyDescent="0.25">
      <c r="A12" s="13" t="s">
        <v>23</v>
      </c>
      <c r="B12" s="13" t="s">
        <v>71</v>
      </c>
      <c r="C12" s="13" t="s">
        <v>68</v>
      </c>
    </row>
    <row r="13" spans="1:3" x14ac:dyDescent="0.25">
      <c r="A13" s="13" t="s">
        <v>24</v>
      </c>
      <c r="B13" s="13" t="s">
        <v>72</v>
      </c>
      <c r="C13" s="13" t="s">
        <v>68</v>
      </c>
    </row>
    <row r="14" spans="1:3" ht="25.5" x14ac:dyDescent="0.25">
      <c r="A14" s="13" t="s">
        <v>25</v>
      </c>
      <c r="B14" s="13" t="s">
        <v>73</v>
      </c>
      <c r="C14" s="13" t="s">
        <v>68</v>
      </c>
    </row>
    <row r="15" spans="1:3" x14ac:dyDescent="0.25">
      <c r="A15" s="13" t="s">
        <v>26</v>
      </c>
      <c r="B15" s="13" t="s">
        <v>74</v>
      </c>
      <c r="C15" s="13" t="s">
        <v>75</v>
      </c>
    </row>
    <row r="16" spans="1:3" x14ac:dyDescent="0.25">
      <c r="A16" s="13" t="s">
        <v>27</v>
      </c>
      <c r="B16" s="13" t="s">
        <v>76</v>
      </c>
      <c r="C16" s="13" t="s">
        <v>77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4"/>
  <sheetViews>
    <sheetView zoomScaleNormal="100" workbookViewId="0"/>
  </sheetViews>
  <sheetFormatPr defaultColWidth="8.7109375" defaultRowHeight="15" x14ac:dyDescent="0.25"/>
  <cols>
    <col min="1" max="1" width="55" customWidth="1"/>
    <col min="2" max="2" width="14" customWidth="1"/>
  </cols>
  <sheetData>
    <row r="1" spans="1:2" x14ac:dyDescent="0.25">
      <c r="A1" s="9" t="s">
        <v>78</v>
      </c>
    </row>
    <row r="2" spans="1:2" x14ac:dyDescent="0.25">
      <c r="A2" s="3" t="s">
        <v>79</v>
      </c>
      <c r="B2" s="3" t="s">
        <v>80</v>
      </c>
    </row>
    <row r="3" spans="1:2" x14ac:dyDescent="0.25">
      <c r="A3" s="2" t="s">
        <v>81</v>
      </c>
      <c r="B3" s="6">
        <v>4410</v>
      </c>
    </row>
    <row r="4" spans="1:2" x14ac:dyDescent="0.25">
      <c r="A4" s="2" t="s">
        <v>82</v>
      </c>
      <c r="B4" s="6">
        <v>3470</v>
      </c>
    </row>
    <row r="5" spans="1:2" x14ac:dyDescent="0.25">
      <c r="A5" s="2" t="s">
        <v>83</v>
      </c>
      <c r="B5" s="6">
        <v>1015</v>
      </c>
    </row>
    <row r="6" spans="1:2" x14ac:dyDescent="0.25">
      <c r="A6" s="2" t="s">
        <v>84</v>
      </c>
      <c r="B6" s="6">
        <v>855</v>
      </c>
    </row>
    <row r="7" spans="1:2" x14ac:dyDescent="0.25">
      <c r="A7" s="2" t="s">
        <v>85</v>
      </c>
      <c r="B7" s="6">
        <v>813</v>
      </c>
    </row>
    <row r="8" spans="1:2" x14ac:dyDescent="0.25">
      <c r="A8" s="2" t="s">
        <v>86</v>
      </c>
      <c r="B8" s="6">
        <v>804</v>
      </c>
    </row>
    <row r="9" spans="1:2" x14ac:dyDescent="0.25">
      <c r="A9" s="2" t="s">
        <v>87</v>
      </c>
      <c r="B9" s="6">
        <v>768</v>
      </c>
    </row>
    <row r="10" spans="1:2" x14ac:dyDescent="0.25">
      <c r="A10" s="2" t="s">
        <v>88</v>
      </c>
      <c r="B10" s="6">
        <v>740</v>
      </c>
    </row>
    <row r="11" spans="1:2" x14ac:dyDescent="0.25">
      <c r="A11" s="2" t="s">
        <v>89</v>
      </c>
      <c r="B11" s="6">
        <v>731</v>
      </c>
    </row>
    <row r="12" spans="1:2" x14ac:dyDescent="0.25">
      <c r="A12" s="2" t="s">
        <v>90</v>
      </c>
      <c r="B12" s="6">
        <v>712</v>
      </c>
    </row>
    <row r="13" spans="1:2" x14ac:dyDescent="0.25">
      <c r="A13" s="2" t="s">
        <v>91</v>
      </c>
      <c r="B13" s="6">
        <v>572</v>
      </c>
    </row>
    <row r="14" spans="1:2" x14ac:dyDescent="0.25">
      <c r="A14" s="2" t="s">
        <v>92</v>
      </c>
      <c r="B14" s="6">
        <v>509</v>
      </c>
    </row>
    <row r="15" spans="1:2" x14ac:dyDescent="0.25">
      <c r="A15" s="2" t="s">
        <v>93</v>
      </c>
      <c r="B15" s="6">
        <v>496</v>
      </c>
    </row>
    <row r="16" spans="1:2" x14ac:dyDescent="0.25">
      <c r="A16" s="2" t="s">
        <v>94</v>
      </c>
      <c r="B16" s="6">
        <v>441</v>
      </c>
    </row>
    <row r="17" spans="1:2" x14ac:dyDescent="0.25">
      <c r="A17" s="2" t="s">
        <v>95</v>
      </c>
      <c r="B17" s="6">
        <v>422</v>
      </c>
    </row>
    <row r="19" spans="1:2" x14ac:dyDescent="0.25">
      <c r="A19" s="9" t="s">
        <v>96</v>
      </c>
    </row>
    <row r="20" spans="1:2" x14ac:dyDescent="0.25">
      <c r="A20" s="3" t="s">
        <v>79</v>
      </c>
      <c r="B20" s="3" t="s">
        <v>80</v>
      </c>
    </row>
    <row r="21" spans="1:2" x14ac:dyDescent="0.25">
      <c r="A21" s="2" t="s">
        <v>97</v>
      </c>
      <c r="B21" s="6">
        <v>1709</v>
      </c>
    </row>
    <row r="22" spans="1:2" x14ac:dyDescent="0.25">
      <c r="A22" s="2" t="s">
        <v>98</v>
      </c>
      <c r="B22" s="6">
        <v>494</v>
      </c>
    </row>
    <row r="23" spans="1:2" x14ac:dyDescent="0.25">
      <c r="A23" s="2" t="s">
        <v>99</v>
      </c>
      <c r="B23" s="6">
        <v>423</v>
      </c>
    </row>
    <row r="24" spans="1:2" x14ac:dyDescent="0.25">
      <c r="A24" s="2" t="s">
        <v>100</v>
      </c>
      <c r="B24" s="6">
        <v>355</v>
      </c>
    </row>
    <row r="25" spans="1:2" x14ac:dyDescent="0.25">
      <c r="A25" s="2" t="s">
        <v>101</v>
      </c>
      <c r="B25" s="6">
        <v>307</v>
      </c>
    </row>
    <row r="26" spans="1:2" x14ac:dyDescent="0.25">
      <c r="A26" s="2" t="s">
        <v>102</v>
      </c>
      <c r="B26" s="6">
        <v>306</v>
      </c>
    </row>
    <row r="27" spans="1:2" x14ac:dyDescent="0.25">
      <c r="A27" s="2" t="s">
        <v>103</v>
      </c>
      <c r="B27" s="6">
        <v>276</v>
      </c>
    </row>
    <row r="28" spans="1:2" x14ac:dyDescent="0.25">
      <c r="A28" s="2" t="s">
        <v>104</v>
      </c>
      <c r="B28" s="6">
        <v>209</v>
      </c>
    </row>
    <row r="29" spans="1:2" x14ac:dyDescent="0.25">
      <c r="A29" s="2" t="s">
        <v>105</v>
      </c>
      <c r="B29" s="6">
        <v>170</v>
      </c>
    </row>
    <row r="30" spans="1:2" x14ac:dyDescent="0.25">
      <c r="A30" s="2" t="s">
        <v>106</v>
      </c>
      <c r="B30" s="6">
        <v>166</v>
      </c>
    </row>
    <row r="31" spans="1:2" x14ac:dyDescent="0.25">
      <c r="A31" s="2" t="s">
        <v>107</v>
      </c>
      <c r="B31" s="6">
        <v>165</v>
      </c>
    </row>
    <row r="32" spans="1:2" x14ac:dyDescent="0.25">
      <c r="A32" s="2" t="s">
        <v>108</v>
      </c>
      <c r="B32" s="6">
        <v>159</v>
      </c>
    </row>
    <row r="33" spans="1:2" x14ac:dyDescent="0.25">
      <c r="A33" s="2" t="s">
        <v>109</v>
      </c>
      <c r="B33" s="6">
        <v>156</v>
      </c>
    </row>
    <row r="34" spans="1:2" x14ac:dyDescent="0.25">
      <c r="A34" s="2" t="s">
        <v>110</v>
      </c>
      <c r="B34" s="6">
        <v>150</v>
      </c>
    </row>
    <row r="35" spans="1:2" x14ac:dyDescent="0.25">
      <c r="A35" s="2" t="s">
        <v>111</v>
      </c>
      <c r="B35" s="6">
        <v>147</v>
      </c>
    </row>
    <row r="37" spans="1:2" x14ac:dyDescent="0.25">
      <c r="A37" s="9" t="s">
        <v>112</v>
      </c>
    </row>
    <row r="38" spans="1:2" x14ac:dyDescent="0.25">
      <c r="A38" s="3" t="s">
        <v>79</v>
      </c>
      <c r="B38" s="3" t="s">
        <v>80</v>
      </c>
    </row>
    <row r="39" spans="1:2" x14ac:dyDescent="0.25">
      <c r="A39" s="2" t="s">
        <v>113</v>
      </c>
      <c r="B39" s="6">
        <v>10865</v>
      </c>
    </row>
    <row r="40" spans="1:2" x14ac:dyDescent="0.25">
      <c r="A40" s="2" t="s">
        <v>114</v>
      </c>
      <c r="B40" s="6">
        <v>3200</v>
      </c>
    </row>
    <row r="41" spans="1:2" x14ac:dyDescent="0.25">
      <c r="A41" s="2" t="s">
        <v>115</v>
      </c>
      <c r="B41" s="6">
        <v>1939</v>
      </c>
    </row>
    <row r="42" spans="1:2" x14ac:dyDescent="0.25">
      <c r="A42" s="2" t="s">
        <v>116</v>
      </c>
      <c r="B42" s="6">
        <v>1775</v>
      </c>
    </row>
    <row r="43" spans="1:2" x14ac:dyDescent="0.25">
      <c r="A43" s="2" t="s">
        <v>117</v>
      </c>
      <c r="B43" s="6">
        <v>1010</v>
      </c>
    </row>
    <row r="44" spans="1:2" x14ac:dyDescent="0.25">
      <c r="A44" s="2" t="s">
        <v>118</v>
      </c>
      <c r="B44" s="6">
        <v>396</v>
      </c>
    </row>
    <row r="45" spans="1:2" x14ac:dyDescent="0.25">
      <c r="A45" s="2" t="s">
        <v>119</v>
      </c>
      <c r="B45" s="6">
        <v>219</v>
      </c>
    </row>
    <row r="46" spans="1:2" x14ac:dyDescent="0.25">
      <c r="A46" s="2" t="s">
        <v>120</v>
      </c>
      <c r="B46" s="6">
        <v>157</v>
      </c>
    </row>
    <row r="48" spans="1:2" x14ac:dyDescent="0.25">
      <c r="A48" s="9" t="s">
        <v>121</v>
      </c>
    </row>
    <row r="49" spans="1:2" x14ac:dyDescent="0.25">
      <c r="A49" s="3" t="s">
        <v>79</v>
      </c>
      <c r="B49" s="3" t="s">
        <v>80</v>
      </c>
    </row>
    <row r="50" spans="1:2" x14ac:dyDescent="0.25">
      <c r="A50" s="2" t="s">
        <v>122</v>
      </c>
      <c r="B50" s="6">
        <v>3050</v>
      </c>
    </row>
    <row r="51" spans="1:2" x14ac:dyDescent="0.25">
      <c r="A51" s="2" t="s">
        <v>123</v>
      </c>
      <c r="B51" s="6">
        <v>2833</v>
      </c>
    </row>
    <row r="52" spans="1:2" x14ac:dyDescent="0.25">
      <c r="A52" s="2" t="s">
        <v>124</v>
      </c>
      <c r="B52" s="6">
        <v>759</v>
      </c>
    </row>
    <row r="53" spans="1:2" x14ac:dyDescent="0.25">
      <c r="A53" s="2" t="s">
        <v>125</v>
      </c>
      <c r="B53" s="6">
        <v>458</v>
      </c>
    </row>
    <row r="54" spans="1:2" x14ac:dyDescent="0.25">
      <c r="A54" s="2" t="s">
        <v>126</v>
      </c>
      <c r="B54" s="6">
        <v>432</v>
      </c>
    </row>
    <row r="55" spans="1:2" x14ac:dyDescent="0.25">
      <c r="A55" s="2" t="s">
        <v>127</v>
      </c>
      <c r="B55" s="6">
        <v>346</v>
      </c>
    </row>
    <row r="56" spans="1:2" x14ac:dyDescent="0.25">
      <c r="A56" s="2" t="s">
        <v>128</v>
      </c>
      <c r="B56" s="6">
        <v>287</v>
      </c>
    </row>
    <row r="57" spans="1:2" x14ac:dyDescent="0.25">
      <c r="A57" s="2" t="s">
        <v>129</v>
      </c>
      <c r="B57" s="6">
        <v>260</v>
      </c>
    </row>
    <row r="58" spans="1:2" x14ac:dyDescent="0.25">
      <c r="A58" s="2" t="s">
        <v>130</v>
      </c>
      <c r="B58" s="6">
        <v>259</v>
      </c>
    </row>
    <row r="59" spans="1:2" x14ac:dyDescent="0.25">
      <c r="A59" s="2" t="s">
        <v>131</v>
      </c>
      <c r="B59" s="6">
        <v>258</v>
      </c>
    </row>
    <row r="61" spans="1:2" x14ac:dyDescent="0.25">
      <c r="A61" s="9" t="s">
        <v>132</v>
      </c>
    </row>
    <row r="62" spans="1:2" x14ac:dyDescent="0.25">
      <c r="A62" s="3" t="s">
        <v>79</v>
      </c>
      <c r="B62" s="3" t="s">
        <v>80</v>
      </c>
    </row>
    <row r="63" spans="1:2" x14ac:dyDescent="0.25">
      <c r="A63" s="2" t="s">
        <v>133</v>
      </c>
      <c r="B63" s="6">
        <v>14679</v>
      </c>
    </row>
    <row r="64" spans="1:2" x14ac:dyDescent="0.25">
      <c r="A64" s="2" t="s">
        <v>134</v>
      </c>
      <c r="B64" s="6">
        <v>5665</v>
      </c>
    </row>
    <row r="66" spans="1:2" x14ac:dyDescent="0.25">
      <c r="A66" s="9" t="s">
        <v>135</v>
      </c>
    </row>
    <row r="67" spans="1:2" x14ac:dyDescent="0.25">
      <c r="A67" s="3" t="s">
        <v>79</v>
      </c>
      <c r="B67" s="3" t="s">
        <v>80</v>
      </c>
    </row>
    <row r="68" spans="1:2" x14ac:dyDescent="0.25">
      <c r="A68" s="2" t="s">
        <v>136</v>
      </c>
      <c r="B68" s="6">
        <v>910</v>
      </c>
    </row>
    <row r="69" spans="1:2" x14ac:dyDescent="0.25">
      <c r="A69" s="2" t="s">
        <v>137</v>
      </c>
      <c r="B69" s="6">
        <v>2306</v>
      </c>
    </row>
    <row r="70" spans="1:2" x14ac:dyDescent="0.25">
      <c r="A70" s="2" t="s">
        <v>138</v>
      </c>
      <c r="B70" s="6">
        <v>8354</v>
      </c>
    </row>
    <row r="71" spans="1:2" x14ac:dyDescent="0.25">
      <c r="A71" s="2" t="s">
        <v>139</v>
      </c>
      <c r="B71" s="6">
        <v>20344</v>
      </c>
    </row>
    <row r="72" spans="1:2" x14ac:dyDescent="0.25">
      <c r="A72" s="2" t="s">
        <v>140</v>
      </c>
      <c r="B72" s="6">
        <v>182</v>
      </c>
    </row>
    <row r="74" spans="1:2" x14ac:dyDescent="0.25">
      <c r="A74" s="11" t="s">
        <v>141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zoomScaleNormal="100" workbookViewId="0"/>
  </sheetViews>
  <sheetFormatPr defaultColWidth="8.7109375" defaultRowHeight="15" x14ac:dyDescent="0.25"/>
  <cols>
    <col min="1" max="1" width="42" customWidth="1"/>
    <col min="2" max="2" width="6" customWidth="1"/>
    <col min="3" max="3" width="8" customWidth="1"/>
    <col min="4" max="4" width="12" customWidth="1"/>
    <col min="5" max="5" width="80" customWidth="1"/>
  </cols>
  <sheetData>
    <row r="1" spans="1:5" x14ac:dyDescent="0.25">
      <c r="A1" s="3" t="s">
        <v>142</v>
      </c>
      <c r="B1" s="3" t="s">
        <v>143</v>
      </c>
      <c r="C1" s="3" t="s">
        <v>14</v>
      </c>
      <c r="D1" s="3" t="s">
        <v>144</v>
      </c>
      <c r="E1" s="3" t="s">
        <v>145</v>
      </c>
    </row>
    <row r="2" spans="1:5" x14ac:dyDescent="0.25">
      <c r="A2" s="2" t="s">
        <v>146</v>
      </c>
      <c r="B2" s="2" t="s">
        <v>147</v>
      </c>
      <c r="C2" s="2">
        <v>2018</v>
      </c>
      <c r="D2" s="6">
        <v>175200</v>
      </c>
      <c r="E2" s="2" t="s">
        <v>148</v>
      </c>
    </row>
    <row r="3" spans="1:5" x14ac:dyDescent="0.25">
      <c r="A3" s="2" t="s">
        <v>146</v>
      </c>
      <c r="B3" s="2" t="s">
        <v>147</v>
      </c>
      <c r="C3" s="2">
        <v>2019</v>
      </c>
      <c r="D3" s="6">
        <v>121200</v>
      </c>
      <c r="E3" s="2" t="s">
        <v>149</v>
      </c>
    </row>
    <row r="4" spans="1:5" x14ac:dyDescent="0.25">
      <c r="A4" s="2" t="s">
        <v>146</v>
      </c>
      <c r="B4" s="2" t="s">
        <v>147</v>
      </c>
      <c r="C4" s="2">
        <v>2020</v>
      </c>
      <c r="D4" s="6">
        <v>94200</v>
      </c>
      <c r="E4" s="2" t="s">
        <v>150</v>
      </c>
    </row>
    <row r="5" spans="1:5" x14ac:dyDescent="0.25">
      <c r="A5" s="2" t="s">
        <v>146</v>
      </c>
      <c r="B5" s="2" t="s">
        <v>147</v>
      </c>
      <c r="C5" s="2">
        <v>2021</v>
      </c>
      <c r="D5" s="6">
        <v>102000</v>
      </c>
      <c r="E5" s="2" t="s">
        <v>151</v>
      </c>
    </row>
    <row r="6" spans="1:5" x14ac:dyDescent="0.25">
      <c r="A6" s="2" t="s">
        <v>146</v>
      </c>
      <c r="B6" s="2" t="s">
        <v>147</v>
      </c>
      <c r="C6" s="2">
        <v>2022</v>
      </c>
      <c r="D6" s="6">
        <v>105000</v>
      </c>
      <c r="E6" s="2" t="s">
        <v>152</v>
      </c>
    </row>
    <row r="7" spans="1:5" x14ac:dyDescent="0.25">
      <c r="A7" s="2" t="s">
        <v>146</v>
      </c>
      <c r="B7" s="2" t="s">
        <v>147</v>
      </c>
      <c r="C7" s="2">
        <v>2023</v>
      </c>
      <c r="D7" s="6">
        <v>115524</v>
      </c>
      <c r="E7" s="2" t="s">
        <v>153</v>
      </c>
    </row>
    <row r="8" spans="1:5" x14ac:dyDescent="0.25">
      <c r="A8" s="2" t="s">
        <v>146</v>
      </c>
      <c r="B8" s="2" t="s">
        <v>147</v>
      </c>
      <c r="C8" s="2">
        <v>2024</v>
      </c>
      <c r="D8" s="6">
        <v>124440</v>
      </c>
      <c r="E8" s="2" t="s">
        <v>154</v>
      </c>
    </row>
    <row r="9" spans="1:5" x14ac:dyDescent="0.25">
      <c r="A9" s="2" t="s">
        <v>155</v>
      </c>
      <c r="B9" s="2" t="s">
        <v>147</v>
      </c>
      <c r="C9" s="2">
        <v>2024</v>
      </c>
      <c r="D9" s="6">
        <v>965524</v>
      </c>
      <c r="E9" s="2" t="s">
        <v>156</v>
      </c>
    </row>
    <row r="10" spans="1:5" x14ac:dyDescent="0.25">
      <c r="A10" s="2" t="s">
        <v>157</v>
      </c>
      <c r="B10" s="2" t="s">
        <v>147</v>
      </c>
      <c r="C10" s="2">
        <v>2025</v>
      </c>
      <c r="D10" s="6">
        <v>424516</v>
      </c>
      <c r="E10" s="2" t="s">
        <v>158</v>
      </c>
    </row>
    <row r="11" spans="1:5" x14ac:dyDescent="0.25">
      <c r="A11" s="2" t="s">
        <v>159</v>
      </c>
      <c r="B11" s="2" t="s">
        <v>147</v>
      </c>
      <c r="C11" s="2">
        <v>2030</v>
      </c>
      <c r="D11" s="6">
        <v>540845</v>
      </c>
      <c r="E11" s="2" t="s">
        <v>160</v>
      </c>
    </row>
    <row r="12" spans="1:5" x14ac:dyDescent="0.25">
      <c r="A12" s="2" t="s">
        <v>161</v>
      </c>
      <c r="B12" s="2" t="s">
        <v>147</v>
      </c>
      <c r="C12" s="2">
        <v>2023</v>
      </c>
      <c r="D12" s="6">
        <v>358</v>
      </c>
      <c r="E12" s="2" t="s">
        <v>162</v>
      </c>
    </row>
    <row r="13" spans="1:5" x14ac:dyDescent="0.25">
      <c r="A13" s="2" t="s">
        <v>161</v>
      </c>
      <c r="B13" s="2" t="s">
        <v>147</v>
      </c>
      <c r="C13" s="2">
        <v>2024</v>
      </c>
      <c r="D13" s="6">
        <v>423</v>
      </c>
      <c r="E13" s="2" t="s">
        <v>162</v>
      </c>
    </row>
    <row r="14" spans="1:5" x14ac:dyDescent="0.25">
      <c r="A14" s="2" t="s">
        <v>161</v>
      </c>
      <c r="B14" s="2" t="s">
        <v>147</v>
      </c>
      <c r="C14" s="2">
        <v>2025</v>
      </c>
      <c r="D14" s="6">
        <v>493</v>
      </c>
      <c r="E14" s="2" t="s">
        <v>162</v>
      </c>
    </row>
    <row r="15" spans="1:5" x14ac:dyDescent="0.25">
      <c r="A15" s="2" t="s">
        <v>163</v>
      </c>
      <c r="B15" s="2" t="s">
        <v>164</v>
      </c>
      <c r="C15" s="2">
        <v>2024</v>
      </c>
      <c r="D15" s="6">
        <v>119300</v>
      </c>
      <c r="E15" s="2" t="s">
        <v>165</v>
      </c>
    </row>
    <row r="16" spans="1:5" x14ac:dyDescent="0.25">
      <c r="A16" s="2" t="s">
        <v>163</v>
      </c>
      <c r="B16" s="2" t="s">
        <v>164</v>
      </c>
      <c r="C16" s="2">
        <v>2025</v>
      </c>
      <c r="D16" s="6">
        <v>150332</v>
      </c>
      <c r="E16" s="2" t="s">
        <v>166</v>
      </c>
    </row>
    <row r="17" spans="1:5" x14ac:dyDescent="0.25">
      <c r="A17" s="2" t="s">
        <v>167</v>
      </c>
      <c r="B17" s="2" t="s">
        <v>168</v>
      </c>
      <c r="C17" s="2">
        <v>2025</v>
      </c>
      <c r="D17" s="6">
        <v>2000000</v>
      </c>
      <c r="E17" s="2" t="s">
        <v>169</v>
      </c>
    </row>
    <row r="18" spans="1:5" x14ac:dyDescent="0.25">
      <c r="A18" s="2" t="s">
        <v>170</v>
      </c>
      <c r="B18" s="2" t="s">
        <v>171</v>
      </c>
      <c r="C18" s="2">
        <v>2024</v>
      </c>
      <c r="D18" s="6">
        <v>2464</v>
      </c>
      <c r="E18" s="2" t="s">
        <v>172</v>
      </c>
    </row>
    <row r="19" spans="1:5" x14ac:dyDescent="0.25">
      <c r="A19" s="2" t="s">
        <v>173</v>
      </c>
      <c r="B19" s="2" t="s">
        <v>171</v>
      </c>
      <c r="C19" s="2">
        <v>2024</v>
      </c>
      <c r="D19" s="6">
        <v>9633</v>
      </c>
      <c r="E19" s="2" t="s">
        <v>172</v>
      </c>
    </row>
    <row r="20" spans="1:5" x14ac:dyDescent="0.25">
      <c r="A20" s="2" t="s">
        <v>174</v>
      </c>
      <c r="B20" s="2" t="s">
        <v>171</v>
      </c>
      <c r="C20" s="2">
        <v>2024</v>
      </c>
      <c r="D20" s="6">
        <v>18</v>
      </c>
      <c r="E20" s="2" t="s">
        <v>172</v>
      </c>
    </row>
    <row r="22" spans="1:5" x14ac:dyDescent="0.25">
      <c r="A22" s="11" t="s">
        <v>175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tabSelected="1" topLeftCell="A28" zoomScaleNormal="100" workbookViewId="0"/>
  </sheetViews>
  <sheetFormatPr defaultColWidth="8.7109375" defaultRowHeight="15" x14ac:dyDescent="0.25"/>
  <cols>
    <col min="1" max="1" width="16" customWidth="1"/>
    <col min="2" max="11" width="13" customWidth="1"/>
  </cols>
  <sheetData>
    <row r="1" spans="1:11" x14ac:dyDescent="0.25">
      <c r="A1" s="9" t="s">
        <v>176</v>
      </c>
    </row>
    <row r="2" spans="1:11" ht="25.5" x14ac:dyDescent="0.25">
      <c r="A2" s="3" t="s">
        <v>177</v>
      </c>
      <c r="B2" s="3" t="s">
        <v>178</v>
      </c>
      <c r="C2" s="3" t="s">
        <v>179</v>
      </c>
      <c r="D2" s="3" t="s">
        <v>180</v>
      </c>
      <c r="E2" s="3" t="s">
        <v>181</v>
      </c>
      <c r="F2" s="3" t="s">
        <v>182</v>
      </c>
      <c r="G2" s="3" t="s">
        <v>183</v>
      </c>
      <c r="H2" s="3" t="s">
        <v>184</v>
      </c>
      <c r="I2" s="3" t="s">
        <v>185</v>
      </c>
      <c r="J2" s="3" t="s">
        <v>186</v>
      </c>
      <c r="K2" s="3" t="s">
        <v>187</v>
      </c>
    </row>
    <row r="3" spans="1:11" x14ac:dyDescent="0.25">
      <c r="A3" s="2" t="s">
        <v>188</v>
      </c>
      <c r="B3" s="2">
        <v>2</v>
      </c>
      <c r="C3" s="14">
        <v>469.49299999999999</v>
      </c>
      <c r="D3" s="14">
        <v>-314.60000000000002</v>
      </c>
      <c r="E3" s="14">
        <v>36.470999999999997</v>
      </c>
      <c r="F3" s="14">
        <v>8.3000000000000004E-2</v>
      </c>
      <c r="G3" s="14">
        <v>0.26550000000000001</v>
      </c>
      <c r="H3" s="14">
        <v>24.321999999999999</v>
      </c>
      <c r="I3" s="14">
        <v>45.34</v>
      </c>
      <c r="J3" s="14">
        <v>44.93</v>
      </c>
      <c r="K3" s="2" t="s">
        <v>189</v>
      </c>
    </row>
    <row r="4" spans="1:11" x14ac:dyDescent="0.25">
      <c r="A4" s="2" t="s">
        <v>190</v>
      </c>
      <c r="B4" s="2">
        <v>3</v>
      </c>
      <c r="C4" s="14">
        <v>364.935</v>
      </c>
      <c r="D4" s="14">
        <v>-262.32100000000003</v>
      </c>
      <c r="E4" s="14">
        <v>33.930999999999997</v>
      </c>
      <c r="F4" s="14">
        <v>0.29570000000000002</v>
      </c>
      <c r="G4" s="14">
        <v>0.2298</v>
      </c>
      <c r="H4" s="14">
        <v>20.042000000000002</v>
      </c>
      <c r="I4" s="14">
        <v>38.619999999999997</v>
      </c>
      <c r="J4" s="14">
        <v>31</v>
      </c>
      <c r="K4" s="2" t="s">
        <v>191</v>
      </c>
    </row>
    <row r="5" spans="1:11" x14ac:dyDescent="0.25">
      <c r="A5" s="2" t="s">
        <v>192</v>
      </c>
      <c r="B5" s="2">
        <v>3</v>
      </c>
      <c r="C5" s="14">
        <v>352.166</v>
      </c>
      <c r="D5" s="14">
        <v>-255.93700000000001</v>
      </c>
      <c r="E5" s="14">
        <v>33.286000000000001</v>
      </c>
      <c r="F5" s="14">
        <v>0.40839999999999999</v>
      </c>
      <c r="G5" s="14">
        <v>0.30620000000000003</v>
      </c>
      <c r="H5" s="14">
        <v>19.783000000000001</v>
      </c>
      <c r="I5" s="14">
        <v>38.53</v>
      </c>
      <c r="J5" s="14">
        <v>38.08</v>
      </c>
      <c r="K5" s="2" t="s">
        <v>193</v>
      </c>
    </row>
    <row r="6" spans="1:11" x14ac:dyDescent="0.25">
      <c r="A6" s="2" t="s">
        <v>194</v>
      </c>
      <c r="B6" s="2">
        <v>3</v>
      </c>
      <c r="C6" s="14">
        <v>377.94600000000003</v>
      </c>
      <c r="D6" s="14">
        <v>-268.827</v>
      </c>
      <c r="E6" s="14">
        <v>34.588999999999999</v>
      </c>
      <c r="F6" s="14">
        <v>0.21290000000000001</v>
      </c>
      <c r="G6" s="14">
        <v>0.22409999999999999</v>
      </c>
      <c r="H6" s="14">
        <v>20.667999999999999</v>
      </c>
      <c r="I6" s="14">
        <v>40.79</v>
      </c>
      <c r="J6" s="14">
        <v>27.4</v>
      </c>
      <c r="K6" s="2" t="s">
        <v>195</v>
      </c>
    </row>
    <row r="8" spans="1:11" x14ac:dyDescent="0.25">
      <c r="A8" s="9" t="s">
        <v>196</v>
      </c>
    </row>
    <row r="9" spans="1:11" ht="25.5" x14ac:dyDescent="0.25">
      <c r="A9" s="3" t="s">
        <v>177</v>
      </c>
      <c r="B9" s="3" t="s">
        <v>178</v>
      </c>
      <c r="C9" s="3" t="s">
        <v>179</v>
      </c>
      <c r="D9" s="3" t="s">
        <v>180</v>
      </c>
      <c r="E9" s="3" t="s">
        <v>181</v>
      </c>
      <c r="F9" s="3" t="s">
        <v>182</v>
      </c>
      <c r="G9" s="3" t="s">
        <v>183</v>
      </c>
      <c r="H9" s="3" t="s">
        <v>184</v>
      </c>
      <c r="I9" s="3" t="s">
        <v>185</v>
      </c>
      <c r="J9" s="3" t="s">
        <v>186</v>
      </c>
      <c r="K9" s="3" t="s">
        <v>187</v>
      </c>
    </row>
    <row r="10" spans="1:11" x14ac:dyDescent="0.25">
      <c r="A10" s="2" t="s">
        <v>188</v>
      </c>
      <c r="B10" s="2">
        <v>2</v>
      </c>
      <c r="C10" s="14">
        <v>839.32899999999995</v>
      </c>
      <c r="D10" s="14">
        <v>-499.51799999999997</v>
      </c>
      <c r="E10" s="14">
        <v>80.876999999999995</v>
      </c>
      <c r="F10" s="14">
        <v>0</v>
      </c>
      <c r="G10" s="14">
        <v>0.38919999999999999</v>
      </c>
      <c r="H10" s="14">
        <v>42.901000000000003</v>
      </c>
      <c r="I10" s="14">
        <v>72.84</v>
      </c>
      <c r="J10" s="14">
        <v>72.739999999999995</v>
      </c>
      <c r="K10" s="2" t="s">
        <v>197</v>
      </c>
    </row>
    <row r="11" spans="1:11" x14ac:dyDescent="0.25">
      <c r="A11" s="2" t="s">
        <v>190</v>
      </c>
      <c r="B11" s="2">
        <v>3</v>
      </c>
      <c r="C11" s="14">
        <v>200.501</v>
      </c>
      <c r="D11" s="14">
        <v>-180.10400000000001</v>
      </c>
      <c r="E11" s="14">
        <v>34.89</v>
      </c>
      <c r="F11" s="14">
        <v>0.99909999999999999</v>
      </c>
      <c r="G11" s="14">
        <v>0.4138</v>
      </c>
      <c r="H11" s="14">
        <v>13.109</v>
      </c>
      <c r="I11" s="14">
        <v>54.85</v>
      </c>
      <c r="J11" s="14">
        <v>54.75</v>
      </c>
      <c r="K11" s="2" t="s">
        <v>198</v>
      </c>
    </row>
    <row r="12" spans="1:11" x14ac:dyDescent="0.25">
      <c r="A12" s="2" t="s">
        <v>192</v>
      </c>
      <c r="B12" s="2">
        <v>3</v>
      </c>
      <c r="C12" s="14">
        <v>384.137</v>
      </c>
      <c r="D12" s="14">
        <v>-271.923</v>
      </c>
      <c r="E12" s="14">
        <v>48.898000000000003</v>
      </c>
      <c r="F12" s="14">
        <v>8.9999999999999998E-4</v>
      </c>
      <c r="G12" s="14">
        <v>0.50239999999999996</v>
      </c>
      <c r="H12" s="14">
        <v>24.459</v>
      </c>
      <c r="I12" s="14">
        <v>64.41</v>
      </c>
      <c r="J12" s="14">
        <v>64.290000000000006</v>
      </c>
      <c r="K12" s="2" t="s">
        <v>199</v>
      </c>
    </row>
    <row r="14" spans="1:11" x14ac:dyDescent="0.25">
      <c r="A14" s="9" t="s">
        <v>200</v>
      </c>
    </row>
    <row r="15" spans="1:11" ht="25.5" x14ac:dyDescent="0.25">
      <c r="A15" s="3" t="s">
        <v>177</v>
      </c>
      <c r="B15" s="3" t="s">
        <v>201</v>
      </c>
      <c r="C15" s="3" t="s">
        <v>14</v>
      </c>
      <c r="D15" s="3" t="s">
        <v>202</v>
      </c>
      <c r="E15" s="3" t="s">
        <v>203</v>
      </c>
      <c r="F15" s="3" t="s">
        <v>204</v>
      </c>
      <c r="G15" s="3" t="s">
        <v>205</v>
      </c>
      <c r="H15" s="3" t="s">
        <v>206</v>
      </c>
    </row>
    <row r="16" spans="1:11" x14ac:dyDescent="0.25">
      <c r="A16" s="2" t="s">
        <v>188</v>
      </c>
      <c r="B16" s="2">
        <v>3</v>
      </c>
      <c r="C16" s="2">
        <v>2028</v>
      </c>
      <c r="D16" s="15">
        <v>9966.48</v>
      </c>
      <c r="E16" s="15">
        <v>8658.4599999999991</v>
      </c>
      <c r="F16" s="15">
        <v>9947.19</v>
      </c>
      <c r="G16" s="15">
        <v>11397.9</v>
      </c>
      <c r="H16" s="15">
        <v>8.3000000000000004E-2</v>
      </c>
    </row>
    <row r="17" spans="1:8" x14ac:dyDescent="0.25">
      <c r="A17" s="2" t="s">
        <v>188</v>
      </c>
      <c r="B17" s="2">
        <v>5</v>
      </c>
      <c r="C17" s="2">
        <v>2030</v>
      </c>
      <c r="D17" s="15">
        <v>16639</v>
      </c>
      <c r="E17" s="15">
        <v>14087.8</v>
      </c>
      <c r="F17" s="15">
        <v>16612</v>
      </c>
      <c r="G17" s="15">
        <v>19588.400000000001</v>
      </c>
      <c r="H17" s="15">
        <v>8.3000000000000004E-2</v>
      </c>
    </row>
    <row r="18" spans="1:8" x14ac:dyDescent="0.25">
      <c r="A18" s="2" t="s">
        <v>188</v>
      </c>
      <c r="B18" s="2">
        <v>7</v>
      </c>
      <c r="C18" s="2">
        <v>2032</v>
      </c>
      <c r="D18" s="15">
        <v>27778.799999999999</v>
      </c>
      <c r="E18" s="15">
        <v>22913.9</v>
      </c>
      <c r="F18" s="15">
        <v>27744.2</v>
      </c>
      <c r="G18" s="15">
        <v>33647.9</v>
      </c>
      <c r="H18" s="15">
        <v>8.3000000000000004E-2</v>
      </c>
    </row>
    <row r="19" spans="1:8" x14ac:dyDescent="0.25">
      <c r="A19" s="2" t="s">
        <v>188</v>
      </c>
      <c r="B19" s="2">
        <v>10</v>
      </c>
      <c r="C19" s="2">
        <v>2035</v>
      </c>
      <c r="D19" s="15">
        <v>59922.7</v>
      </c>
      <c r="E19" s="15">
        <v>47560.7</v>
      </c>
      <c r="F19" s="15">
        <v>59819.5</v>
      </c>
      <c r="G19" s="15">
        <v>75283.199999999997</v>
      </c>
      <c r="H19" s="15">
        <v>8.3000000000000004E-2</v>
      </c>
    </row>
    <row r="20" spans="1:8" x14ac:dyDescent="0.25">
      <c r="A20" s="2" t="s">
        <v>190</v>
      </c>
      <c r="B20" s="2">
        <v>3</v>
      </c>
      <c r="C20" s="2">
        <v>2028</v>
      </c>
      <c r="D20" s="15">
        <v>6363.9</v>
      </c>
      <c r="E20" s="15">
        <v>4668.29</v>
      </c>
      <c r="F20" s="15">
        <v>6348.12</v>
      </c>
      <c r="G20" s="15">
        <v>9828.02</v>
      </c>
      <c r="H20" s="15">
        <v>0.29570000000000002</v>
      </c>
    </row>
    <row r="21" spans="1:8" x14ac:dyDescent="0.25">
      <c r="A21" s="2" t="s">
        <v>190</v>
      </c>
      <c r="B21" s="2">
        <v>5</v>
      </c>
      <c r="C21" s="2">
        <v>2030</v>
      </c>
      <c r="D21" s="15">
        <v>7551.47</v>
      </c>
      <c r="E21" s="15">
        <v>5122.5600000000004</v>
      </c>
      <c r="F21" s="15">
        <v>7507.82</v>
      </c>
      <c r="G21" s="15">
        <v>15642.9</v>
      </c>
      <c r="H21" s="15">
        <v>0.29570000000000002</v>
      </c>
    </row>
    <row r="22" spans="1:8" x14ac:dyDescent="0.25">
      <c r="A22" s="2" t="s">
        <v>190</v>
      </c>
      <c r="B22" s="2">
        <v>7</v>
      </c>
      <c r="C22" s="2">
        <v>2032</v>
      </c>
      <c r="D22" s="15">
        <v>8408.5300000000007</v>
      </c>
      <c r="E22" s="15">
        <v>5350.21</v>
      </c>
      <c r="F22" s="15">
        <v>8336.6</v>
      </c>
      <c r="G22" s="15">
        <v>23943</v>
      </c>
      <c r="H22" s="15">
        <v>0.29570000000000002</v>
      </c>
    </row>
    <row r="23" spans="1:8" x14ac:dyDescent="0.25">
      <c r="A23" s="2" t="s">
        <v>190</v>
      </c>
      <c r="B23" s="2">
        <v>10</v>
      </c>
      <c r="C23" s="2">
        <v>2035</v>
      </c>
      <c r="D23" s="15">
        <v>9154.27</v>
      </c>
      <c r="E23" s="15">
        <v>5507.89</v>
      </c>
      <c r="F23" s="15">
        <v>9054.64</v>
      </c>
      <c r="G23" s="15">
        <v>40568.9</v>
      </c>
      <c r="H23" s="15">
        <v>0.29570000000000002</v>
      </c>
    </row>
    <row r="24" spans="1:8" x14ac:dyDescent="0.25">
      <c r="A24" s="2" t="s">
        <v>192</v>
      </c>
      <c r="B24" s="2">
        <v>3</v>
      </c>
      <c r="C24" s="2">
        <v>2028</v>
      </c>
      <c r="D24" s="15">
        <v>7919.85</v>
      </c>
      <c r="E24" s="15">
        <v>6360.06</v>
      </c>
      <c r="F24" s="15">
        <v>7923.51</v>
      </c>
      <c r="G24" s="15">
        <v>9938.42</v>
      </c>
      <c r="H24" s="15">
        <v>0.40839999999999999</v>
      </c>
    </row>
    <row r="25" spans="1:8" x14ac:dyDescent="0.25">
      <c r="A25" s="2" t="s">
        <v>192</v>
      </c>
      <c r="B25" s="2">
        <v>5</v>
      </c>
      <c r="C25" s="2">
        <v>2030</v>
      </c>
      <c r="D25" s="15">
        <v>11493.9</v>
      </c>
      <c r="E25" s="15">
        <v>8531.86</v>
      </c>
      <c r="F25" s="15">
        <v>11468.4</v>
      </c>
      <c r="G25" s="15">
        <v>15774</v>
      </c>
      <c r="H25" s="15">
        <v>0.40839999999999999</v>
      </c>
    </row>
    <row r="26" spans="1:8" x14ac:dyDescent="0.25">
      <c r="A26" s="2" t="s">
        <v>192</v>
      </c>
      <c r="B26" s="2">
        <v>7</v>
      </c>
      <c r="C26" s="2">
        <v>2032</v>
      </c>
      <c r="D26" s="15">
        <v>16309.3</v>
      </c>
      <c r="E26" s="15">
        <v>11116</v>
      </c>
      <c r="F26" s="15">
        <v>16225.4</v>
      </c>
      <c r="G26" s="15">
        <v>24984.7</v>
      </c>
      <c r="H26" s="15">
        <v>0.40839999999999999</v>
      </c>
    </row>
    <row r="27" spans="1:8" x14ac:dyDescent="0.25">
      <c r="A27" s="2" t="s">
        <v>192</v>
      </c>
      <c r="B27" s="2">
        <v>10</v>
      </c>
      <c r="C27" s="2">
        <v>2035</v>
      </c>
      <c r="D27" s="15">
        <v>26505.1</v>
      </c>
      <c r="E27" s="15">
        <v>15771</v>
      </c>
      <c r="F27" s="15">
        <v>26298.1</v>
      </c>
      <c r="G27" s="15">
        <v>48664.4</v>
      </c>
      <c r="H27" s="15">
        <v>0.40839999999999999</v>
      </c>
    </row>
    <row r="28" spans="1:8" x14ac:dyDescent="0.25">
      <c r="A28" s="2" t="s">
        <v>194</v>
      </c>
      <c r="B28" s="2">
        <v>3</v>
      </c>
      <c r="C28" s="2">
        <v>2028</v>
      </c>
      <c r="D28" s="15">
        <v>6146.99</v>
      </c>
      <c r="E28" s="15">
        <v>3835.07</v>
      </c>
      <c r="F28" s="15">
        <v>6029.6</v>
      </c>
      <c r="G28" s="15">
        <v>10156.6</v>
      </c>
      <c r="H28" s="15">
        <v>0.21290000000000001</v>
      </c>
    </row>
    <row r="29" spans="1:8" x14ac:dyDescent="0.25">
      <c r="A29" s="2" t="s">
        <v>194</v>
      </c>
      <c r="B29" s="2">
        <v>5</v>
      </c>
      <c r="C29" s="2">
        <v>2030</v>
      </c>
      <c r="D29" s="15">
        <v>6474.22</v>
      </c>
      <c r="E29" s="15">
        <v>3073.8</v>
      </c>
      <c r="F29" s="15">
        <v>6284.05</v>
      </c>
      <c r="G29" s="15">
        <v>16030.8</v>
      </c>
      <c r="H29" s="15">
        <v>0.21290000000000001</v>
      </c>
    </row>
    <row r="30" spans="1:8" x14ac:dyDescent="0.25">
      <c r="A30" s="2" t="s">
        <v>194</v>
      </c>
      <c r="B30" s="2">
        <v>7</v>
      </c>
      <c r="C30" s="2">
        <v>2032</v>
      </c>
      <c r="D30" s="15">
        <v>5760.3</v>
      </c>
      <c r="E30" s="15">
        <v>2089.33</v>
      </c>
      <c r="F30" s="15">
        <v>5522.91</v>
      </c>
      <c r="G30" s="15">
        <v>24919.4</v>
      </c>
      <c r="H30" s="15">
        <v>0.21290000000000001</v>
      </c>
    </row>
    <row r="31" spans="1:8" x14ac:dyDescent="0.25">
      <c r="A31" s="2" t="s">
        <v>194</v>
      </c>
      <c r="B31" s="2">
        <v>10</v>
      </c>
      <c r="C31" s="2">
        <v>2035</v>
      </c>
      <c r="D31" s="15">
        <v>3680.97</v>
      </c>
      <c r="E31" s="15">
        <v>979.63800000000003</v>
      </c>
      <c r="F31" s="15">
        <v>3446.62</v>
      </c>
      <c r="G31" s="15">
        <v>44397.7</v>
      </c>
      <c r="H31" s="15">
        <v>0.21290000000000001</v>
      </c>
    </row>
    <row r="32" spans="1:8" x14ac:dyDescent="0.25">
      <c r="A32" s="2" t="s">
        <v>207</v>
      </c>
      <c r="B32" s="2">
        <v>3</v>
      </c>
      <c r="C32" s="2">
        <v>2028</v>
      </c>
      <c r="D32" s="15">
        <v>8406.49</v>
      </c>
      <c r="E32" s="15">
        <v>5813.09</v>
      </c>
      <c r="F32" s="15">
        <v>8406.49</v>
      </c>
      <c r="G32" s="15">
        <v>10307</v>
      </c>
      <c r="H32" s="15">
        <v>1</v>
      </c>
    </row>
    <row r="33" spans="1:8" x14ac:dyDescent="0.25">
      <c r="A33" s="2" t="s">
        <v>207</v>
      </c>
      <c r="B33" s="2">
        <v>5</v>
      </c>
      <c r="C33" s="2">
        <v>2030</v>
      </c>
      <c r="D33" s="15">
        <v>12678.4</v>
      </c>
      <c r="E33" s="15">
        <v>6801.95</v>
      </c>
      <c r="F33" s="15">
        <v>12678.4</v>
      </c>
      <c r="G33" s="15">
        <v>17151.900000000001</v>
      </c>
      <c r="H33" s="15">
        <v>1</v>
      </c>
    </row>
    <row r="34" spans="1:8" x14ac:dyDescent="0.25">
      <c r="A34" s="2" t="s">
        <v>207</v>
      </c>
      <c r="B34" s="2">
        <v>7</v>
      </c>
      <c r="C34" s="2">
        <v>2032</v>
      </c>
      <c r="D34" s="15">
        <v>18862</v>
      </c>
      <c r="E34" s="15">
        <v>7465.03</v>
      </c>
      <c r="F34" s="15">
        <v>18862</v>
      </c>
      <c r="G34" s="15">
        <v>28606.7</v>
      </c>
      <c r="H34" s="15">
        <v>1</v>
      </c>
    </row>
    <row r="35" spans="1:8" x14ac:dyDescent="0.25">
      <c r="A35" s="2" t="s">
        <v>207</v>
      </c>
      <c r="B35" s="2">
        <v>10</v>
      </c>
      <c r="C35" s="2">
        <v>2035</v>
      </c>
      <c r="D35" s="15">
        <v>34798</v>
      </c>
      <c r="E35" s="15">
        <v>8897.02</v>
      </c>
      <c r="F35" s="15">
        <v>34798</v>
      </c>
      <c r="G35" s="15">
        <v>62223.1</v>
      </c>
      <c r="H35" s="15">
        <v>1</v>
      </c>
    </row>
    <row r="37" spans="1:8" x14ac:dyDescent="0.25">
      <c r="A37" s="9" t="s">
        <v>208</v>
      </c>
    </row>
    <row r="38" spans="1:8" ht="25.5" x14ac:dyDescent="0.25">
      <c r="A38" s="3" t="s">
        <v>177</v>
      </c>
      <c r="B38" s="3" t="s">
        <v>201</v>
      </c>
      <c r="C38" s="3" t="s">
        <v>14</v>
      </c>
      <c r="D38" s="3" t="s">
        <v>202</v>
      </c>
      <c r="E38" s="3" t="s">
        <v>203</v>
      </c>
      <c r="F38" s="3" t="s">
        <v>204</v>
      </c>
      <c r="G38" s="3" t="s">
        <v>205</v>
      </c>
      <c r="H38" s="3" t="s">
        <v>206</v>
      </c>
    </row>
    <row r="39" spans="1:8" x14ac:dyDescent="0.25">
      <c r="A39" s="2" t="s">
        <v>188</v>
      </c>
      <c r="B39" s="2">
        <v>3</v>
      </c>
      <c r="C39" s="2">
        <v>2028</v>
      </c>
      <c r="D39" s="16">
        <v>22.201899999999998</v>
      </c>
      <c r="E39" s="16">
        <v>18.415600000000001</v>
      </c>
      <c r="F39" s="16">
        <v>22.018999999999998</v>
      </c>
      <c r="G39" s="16">
        <v>26.9346</v>
      </c>
      <c r="H39" s="16">
        <v>0</v>
      </c>
    </row>
    <row r="40" spans="1:8" x14ac:dyDescent="0.25">
      <c r="A40" s="2" t="s">
        <v>188</v>
      </c>
      <c r="B40" s="2">
        <v>5</v>
      </c>
      <c r="C40" s="2">
        <v>2030</v>
      </c>
      <c r="D40" s="16">
        <v>31.5487</v>
      </c>
      <c r="E40" s="16">
        <v>25.250900000000001</v>
      </c>
      <c r="F40" s="16">
        <v>31.2867</v>
      </c>
      <c r="G40" s="16">
        <v>39.390599999999999</v>
      </c>
      <c r="H40" s="16">
        <v>0</v>
      </c>
    </row>
    <row r="41" spans="1:8" x14ac:dyDescent="0.25">
      <c r="A41" s="2" t="s">
        <v>188</v>
      </c>
      <c r="B41" s="2">
        <v>7</v>
      </c>
      <c r="C41" s="2">
        <v>2032</v>
      </c>
      <c r="D41" s="16">
        <v>44.830500000000001</v>
      </c>
      <c r="E41" s="16">
        <v>34.6496</v>
      </c>
      <c r="F41" s="16">
        <v>44.394300000000001</v>
      </c>
      <c r="G41" s="16">
        <v>57.665799999999997</v>
      </c>
      <c r="H41" s="16">
        <v>0</v>
      </c>
    </row>
    <row r="42" spans="1:8" x14ac:dyDescent="0.25">
      <c r="A42" s="2" t="s">
        <v>188</v>
      </c>
      <c r="B42" s="2">
        <v>10</v>
      </c>
      <c r="C42" s="2">
        <v>2035</v>
      </c>
      <c r="D42" s="16">
        <v>75.938100000000006</v>
      </c>
      <c r="E42" s="16">
        <v>55.659300000000002</v>
      </c>
      <c r="F42" s="16">
        <v>75.132400000000004</v>
      </c>
      <c r="G42" s="16">
        <v>102.517</v>
      </c>
      <c r="H42" s="16">
        <v>0</v>
      </c>
    </row>
    <row r="43" spans="1:8" x14ac:dyDescent="0.25">
      <c r="A43" s="2" t="s">
        <v>190</v>
      </c>
      <c r="B43" s="2">
        <v>3</v>
      </c>
      <c r="C43" s="2">
        <v>2028</v>
      </c>
      <c r="D43" s="16">
        <v>12.388</v>
      </c>
      <c r="E43" s="16">
        <v>11.7562</v>
      </c>
      <c r="F43" s="16">
        <v>12.417899999999999</v>
      </c>
      <c r="G43" s="16">
        <v>13.178900000000001</v>
      </c>
      <c r="H43" s="16">
        <v>0.99909999999999999</v>
      </c>
    </row>
    <row r="44" spans="1:8" x14ac:dyDescent="0.25">
      <c r="A44" s="2" t="s">
        <v>190</v>
      </c>
      <c r="B44" s="2">
        <v>5</v>
      </c>
      <c r="C44" s="2">
        <v>2030</v>
      </c>
      <c r="D44" s="16">
        <v>12.8005</v>
      </c>
      <c r="E44" s="16">
        <v>12.078900000000001</v>
      </c>
      <c r="F44" s="16">
        <v>12.845000000000001</v>
      </c>
      <c r="G44" s="16">
        <v>13.738099999999999</v>
      </c>
      <c r="H44" s="16">
        <v>0.99909999999999999</v>
      </c>
    </row>
    <row r="45" spans="1:8" x14ac:dyDescent="0.25">
      <c r="A45" s="2" t="s">
        <v>190</v>
      </c>
      <c r="B45" s="2">
        <v>7</v>
      </c>
      <c r="C45" s="2">
        <v>2032</v>
      </c>
      <c r="D45" s="16">
        <v>13.026400000000001</v>
      </c>
      <c r="E45" s="16">
        <v>12.2311</v>
      </c>
      <c r="F45" s="16">
        <v>13.0748</v>
      </c>
      <c r="G45" s="16">
        <v>14.0587</v>
      </c>
      <c r="H45" s="16">
        <v>0.99909999999999999</v>
      </c>
    </row>
    <row r="46" spans="1:8" x14ac:dyDescent="0.25">
      <c r="A46" s="2" t="s">
        <v>190</v>
      </c>
      <c r="B46" s="2">
        <v>10</v>
      </c>
      <c r="C46" s="2">
        <v>2035</v>
      </c>
      <c r="D46" s="16">
        <v>13.184200000000001</v>
      </c>
      <c r="E46" s="16">
        <v>12.343999999999999</v>
      </c>
      <c r="F46" s="16">
        <v>13.235900000000001</v>
      </c>
      <c r="G46" s="16">
        <v>14.290699999999999</v>
      </c>
      <c r="H46" s="16">
        <v>0.99909999999999999</v>
      </c>
    </row>
    <row r="47" spans="1:8" x14ac:dyDescent="0.25">
      <c r="A47" s="2" t="s">
        <v>192</v>
      </c>
      <c r="B47" s="2">
        <v>3</v>
      </c>
      <c r="C47" s="2">
        <v>2028</v>
      </c>
      <c r="D47" s="16">
        <v>15.6934</v>
      </c>
      <c r="E47" s="16">
        <v>14.022399999999999</v>
      </c>
      <c r="F47" s="16">
        <v>15.695499999999999</v>
      </c>
      <c r="G47" s="16">
        <v>17.791499999999999</v>
      </c>
      <c r="H47" s="16">
        <v>8.9999999999999998E-4</v>
      </c>
    </row>
    <row r="48" spans="1:8" x14ac:dyDescent="0.25">
      <c r="A48" s="2" t="s">
        <v>192</v>
      </c>
      <c r="B48" s="2">
        <v>5</v>
      </c>
      <c r="C48" s="2">
        <v>2030</v>
      </c>
      <c r="D48" s="16">
        <v>18.2957</v>
      </c>
      <c r="E48" s="16">
        <v>15.8079</v>
      </c>
      <c r="F48" s="16">
        <v>18.3231</v>
      </c>
      <c r="G48" s="16">
        <v>21.467300000000002</v>
      </c>
      <c r="H48" s="16">
        <v>8.9999999999999998E-4</v>
      </c>
    </row>
    <row r="49" spans="1:8" x14ac:dyDescent="0.25">
      <c r="A49" s="2" t="s">
        <v>192</v>
      </c>
      <c r="B49" s="2">
        <v>7</v>
      </c>
      <c r="C49" s="2">
        <v>2032</v>
      </c>
      <c r="D49" s="16">
        <v>20.8584</v>
      </c>
      <c r="E49" s="16">
        <v>17.446000000000002</v>
      </c>
      <c r="F49" s="16">
        <v>20.9102</v>
      </c>
      <c r="G49" s="16">
        <v>25.387899999999998</v>
      </c>
      <c r="H49" s="16">
        <v>8.9999999999999998E-4</v>
      </c>
    </row>
    <row r="50" spans="1:8" x14ac:dyDescent="0.25">
      <c r="A50" s="2" t="s">
        <v>192</v>
      </c>
      <c r="B50" s="2">
        <v>10</v>
      </c>
      <c r="C50" s="2">
        <v>2035</v>
      </c>
      <c r="D50" s="16">
        <v>24.520199999999999</v>
      </c>
      <c r="E50" s="16">
        <v>19.726600000000001</v>
      </c>
      <c r="F50" s="16">
        <v>24.633400000000002</v>
      </c>
      <c r="G50" s="16">
        <v>31.584099999999999</v>
      </c>
      <c r="H50" s="16">
        <v>8.9999999999999998E-4</v>
      </c>
    </row>
    <row r="51" spans="1:8" x14ac:dyDescent="0.25">
      <c r="A51" s="2" t="s">
        <v>207</v>
      </c>
      <c r="B51" s="2">
        <v>3</v>
      </c>
      <c r="C51" s="2">
        <v>2028</v>
      </c>
      <c r="D51" s="16">
        <v>13.105499999999999</v>
      </c>
      <c r="E51" s="16">
        <v>12.1805</v>
      </c>
      <c r="F51" s="16">
        <v>13.105499999999999</v>
      </c>
      <c r="G51" s="16">
        <v>14.6409</v>
      </c>
      <c r="H51" s="16">
        <v>1</v>
      </c>
    </row>
    <row r="52" spans="1:8" x14ac:dyDescent="0.25">
      <c r="A52" s="2" t="s">
        <v>207</v>
      </c>
      <c r="B52" s="2">
        <v>5</v>
      </c>
      <c r="C52" s="2">
        <v>2030</v>
      </c>
      <c r="D52" s="16">
        <v>13.953200000000001</v>
      </c>
      <c r="E52" s="16">
        <v>12.6685</v>
      </c>
      <c r="F52" s="16">
        <v>13.953200000000001</v>
      </c>
      <c r="G52" s="16">
        <v>16.471</v>
      </c>
      <c r="H52" s="16">
        <v>1</v>
      </c>
    </row>
    <row r="53" spans="1:8" x14ac:dyDescent="0.25">
      <c r="A53" s="2" t="s">
        <v>207</v>
      </c>
      <c r="B53" s="2">
        <v>7</v>
      </c>
      <c r="C53" s="2">
        <v>2032</v>
      </c>
      <c r="D53" s="16">
        <v>14.6816</v>
      </c>
      <c r="E53" s="16">
        <v>12.9671</v>
      </c>
      <c r="F53" s="16">
        <v>14.6816</v>
      </c>
      <c r="G53" s="16">
        <v>18.3187</v>
      </c>
      <c r="H53" s="16">
        <v>1</v>
      </c>
    </row>
    <row r="54" spans="1:8" x14ac:dyDescent="0.25">
      <c r="A54" s="2" t="s">
        <v>207</v>
      </c>
      <c r="B54" s="2">
        <v>10</v>
      </c>
      <c r="C54" s="2">
        <v>2035</v>
      </c>
      <c r="D54" s="16">
        <v>15.541700000000001</v>
      </c>
      <c r="E54" s="16">
        <v>13.229699999999999</v>
      </c>
      <c r="F54" s="16">
        <v>15.541700000000001</v>
      </c>
      <c r="G54" s="16">
        <v>21.199300000000001</v>
      </c>
      <c r="H54" s="16">
        <v>1</v>
      </c>
    </row>
    <row r="56" spans="1:8" x14ac:dyDescent="0.25">
      <c r="A56" s="11" t="s">
        <v>209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Radni listovi</vt:lpstr>
      </vt:variant>
      <vt:variant>
        <vt:i4>7</vt:i4>
      </vt:variant>
    </vt:vector>
  </HeadingPairs>
  <TitlesOfParts>
    <vt:vector size="7" baseType="lpstr">
      <vt:lpstr>README</vt:lpstr>
      <vt:lpstr>Annual</vt:lpstr>
      <vt:lpstr>Raw_long</vt:lpstr>
      <vt:lpstr>Queries</vt:lpstr>
      <vt:lpstr>Aggregates</vt:lpstr>
      <vt:lpstr>Registry</vt:lpstr>
      <vt:lpstr>Model_results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Vedran</cp:lastModifiedBy>
  <cp:revision>0</cp:revision>
  <dcterms:created xsi:type="dcterms:W3CDTF">2026-08-26T22:07:47Z</dcterms:created>
  <dcterms:modified xsi:type="dcterms:W3CDTF">2026-08-26T22:16:18Z</dcterms:modified>
  <dc:language>en-US</dc:language>
</cp:coreProperties>
</file>