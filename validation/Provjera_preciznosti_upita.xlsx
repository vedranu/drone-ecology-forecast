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edran\Desktop\mipro_drones\validation\"/>
    </mc:Choice>
  </mc:AlternateContent>
  <bookViews>
    <workbookView xWindow="0" yWindow="0" windowWidth="16380" windowHeight="8190" tabRatio="500" activeTab="2"/>
  </bookViews>
  <sheets>
    <sheet name="Kriteriji" sheetId="1" r:id="rId1"/>
    <sheet name="Sažetak" sheetId="2" r:id="rId2"/>
    <sheet name="Uzorak_100" sheetId="3" r:id="rId3"/>
    <sheet name="Uzorak_50_rano" sheetId="4" r:id="rId4"/>
    <sheet name="Strogi_upit" sheetId="5" r:id="rId5"/>
  </sheets>
  <definedNames>
    <definedName name="_xlnm._FilterDatabase" localSheetId="2" hidden="1">Uzorak_100!$A$4:$M$104</definedName>
    <definedName name="_xlnm._FilterDatabase" localSheetId="3" hidden="1">Uzorak_50_rano!$A$4:$M$54</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7" i="5" l="1"/>
  <c r="B27" i="5"/>
  <c r="C26" i="5"/>
  <c r="B26" i="5"/>
  <c r="D24" i="5"/>
  <c r="D23" i="5"/>
  <c r="D22" i="5"/>
  <c r="D21" i="5"/>
  <c r="D20" i="5"/>
  <c r="D19" i="5"/>
  <c r="D18" i="5"/>
  <c r="D17" i="5"/>
  <c r="D16" i="5"/>
  <c r="D15" i="5"/>
  <c r="D14" i="5"/>
  <c r="D13" i="5"/>
  <c r="D12" i="5"/>
  <c r="D11" i="5"/>
  <c r="D10" i="5"/>
  <c r="D9" i="5"/>
  <c r="D8" i="5"/>
  <c r="D7" i="5"/>
  <c r="D6" i="5"/>
  <c r="D5" i="5"/>
  <c r="D4" i="5"/>
  <c r="B19" i="2"/>
  <c r="B18" i="2"/>
  <c r="B17" i="2"/>
  <c r="B16" i="2"/>
  <c r="B21" i="2" s="1"/>
  <c r="B7" i="2"/>
  <c r="B6" i="2"/>
  <c r="B5" i="2"/>
  <c r="B4" i="2"/>
  <c r="B24" i="2" l="1"/>
  <c r="B25" i="2"/>
  <c r="B8" i="2"/>
  <c r="B29" i="2" s="1"/>
  <c r="B30" i="2" s="1"/>
  <c r="B11" i="2"/>
  <c r="B9" i="2"/>
  <c r="B13" i="2" s="1"/>
  <c r="B12" i="2"/>
  <c r="B20" i="2"/>
  <c r="B28" i="2" l="1"/>
  <c r="B10" i="2"/>
  <c r="B23" i="2"/>
  <c r="B22" i="2"/>
</calcChain>
</file>

<file path=xl/sharedStrings.xml><?xml version="1.0" encoding="utf-8"?>
<sst xmlns="http://schemas.openxmlformats.org/spreadsheetml/2006/main" count="1535" uniqueCount="967">
  <si>
    <t>Ručna provjera preciznosti upita D AND E (OpenAlex) — kriteriji kodiranja</t>
  </si>
  <si>
    <t>Svaki zapis dobiva jednu od tri oznake:</t>
  </si>
  <si>
    <t>A — RELEVANTAN: bespilotna letjelica (UAV/UAS/dron) je senzorska platforma ILI predmet rada, A primjena je ekološka / okolišna: divlje životinje, staništa, šume i vegetacija u prirodnom okolišu, vode, zrak i emisije plinova, požari, obala i geomorfologija okoliša, onečišćenje, zaštićena područja, bioraznolikost.</t>
  </si>
  <si>
    <t>B — GRANIČAN: UAV jest platforma, ali primjena je susjedna: precizna poljoprivreda (usjevi, prinos, korovi, fenotipizacija), urbanistička/geodetska izmjera, hazardi bez ekološkog fokusa, generička UAV tehnologija koja okoliš samo spominje.</t>
  </si>
  <si>
    <t>C — NERELEVANTAN: nema zračne bespilotne letjelice („drone“ = trut, „UAS“ = drugi akronim, podvodni dronovi, književnost) ILI UAV bez ikakve okolišne primjene (vojna, dostava, sigurnost, softver).</t>
  </si>
  <si>
    <t>Postupak: (1) pročitajte naslov i sažetak; (2) ako sažetak nedostaje, otvorite poveznicu (OpenAlex ID) i pročitajte rad; (3) u stupac „KONAČNA OCJENA“ upišite A, B ili C — stupac je unaprijed popunjen prijedlogom (AI), koji je samo pomoć i može se promijeniti; (4) po potrebi napišite napomenu. List „Sažetak“ se sam preračunava.</t>
  </si>
  <si>
    <t>Uzorci: (a) 100 slučajnih zapisa iz cijelog razdoblja 2005.–2025. (OpenAlex sample=100, seed=20260826); (b) 50 slučajnih zapisa iz ranog razdoblja 2005.–2015. (seed=20260827) za provjeru stabilnosti preciznosti kroz vrijeme. Dohvat 27. 8. 2026.</t>
  </si>
  <si>
    <t>Za rad se izvještava: preciznost u strogom smislu P(A) i u širem smislu P(A ili B), s Wilsonovim 95 % intervalom; test razlike ranog i cijelog uzorka; te osjetljivost trenda na strogi upit (D AND E NOT poljoprivredni pojmovi), list „Strogi_upit“.</t>
  </si>
  <si>
    <t>Preporuka za drugu osobu (inter-rater): neka koautor neovisno kodira barem 30 zapisa u praznoj kopiji stupca; slaganje se izvještava kao postotak ili Cohenova kappa.</t>
  </si>
  <si>
    <t>Sažetak provjere preciznosti (sve formule; mijenja se automatski kad promijenite KONAČNU OCJENU)</t>
  </si>
  <si>
    <t>Uzorak A (2005.–2025., n = 100)</t>
  </si>
  <si>
    <t>n (ocijenjeno)</t>
  </si>
  <si>
    <t>A — relevantan</t>
  </si>
  <si>
    <t>B — graničan</t>
  </si>
  <si>
    <t>C — nerelevantan</t>
  </si>
  <si>
    <t>P(A) stroga preciznost</t>
  </si>
  <si>
    <t>P(A ili B) šira preciznost</t>
  </si>
  <si>
    <t>Wilson 95 % donja, P(A)</t>
  </si>
  <si>
    <t>Wilson 95 % gornja, P(A)</t>
  </si>
  <si>
    <t>Wilson 95 % donja, P(A∪B)</t>
  </si>
  <si>
    <t>Wilson 95 % gornja, P(A∪B)</t>
  </si>
  <si>
    <t>Uzorak B (2005.–2015., n = 50)</t>
  </si>
  <si>
    <t>Razlika P(A): uzorak B (rano) − uzorak A (cijelo razdoblje)</t>
  </si>
  <si>
    <t>razlika udjela</t>
  </si>
  <si>
    <t>z (dvoproporcijski test, združeni p)</t>
  </si>
  <si>
    <t>p (dvostrano)</t>
  </si>
  <si>
    <t>Tumačenje: p &gt; 0,05 → nema dokaza da se preciznost mijenjala kroz vrijeme; trendovi i udjeli tada nisu pristrani zbog šuma upita.</t>
  </si>
  <si>
    <t>Napomena: formule se odnose na stupac L (KONAČNA OCJENA) oba lista; prazne ćelije se ne broje.</t>
  </si>
  <si>
    <t>Uzorak A: 100 slučajnih zapisa, 2005.–2025. (seed 20260826)</t>
  </si>
  <si>
    <t>Žuti stupac = KONAČNA OCJENA (A/B/C), popunite ili potvrdite; prijedlog (AI) je samo pomoć.</t>
  </si>
  <si>
    <t>#</t>
  </si>
  <si>
    <t>Godina</t>
  </si>
  <si>
    <t>Naslov</t>
  </si>
  <si>
    <t>Časopis / izvor</t>
  </si>
  <si>
    <t>OpenAlex tema</t>
  </si>
  <si>
    <t>OpenAlex ID (poveznica)</t>
  </si>
  <si>
    <t>DOI</t>
  </si>
  <si>
    <t>UAV pojam</t>
  </si>
  <si>
    <t>Sažetak (skraćen)</t>
  </si>
  <si>
    <t>Prijedlog (AI)</t>
  </si>
  <si>
    <t>Obrazloženje prijedloga</t>
  </si>
  <si>
    <t>KONAČNA OCJENA</t>
  </si>
  <si>
    <t>Napomena ocjenjivača</t>
  </si>
  <si>
    <t>Virtual nature makes knowledge beautiful</t>
  </si>
  <si>
    <t>Frontiers in Virtual Reality</t>
  </si>
  <si>
    <t>Virtual Reality Applications and Impacts</t>
  </si>
  <si>
    <t>https://openalex.org/W4324088175</t>
  </si>
  <si>
    <t>https://doi.org/10.3389/frvir.2023.1100540</t>
  </si>
  <si>
    <t>drone</t>
  </si>
  <si>
    <t>This is a perspective that presents a viewpoint on immersive informal learning applications built as digital twins of the natural world. Such applications provide multimodal, interactive, immersive, embodied, and sensory experiences unique and different from typical game art environments because they are geospatial visualizations of data and information derived from ecological field plot studies, geographical information systems, drone images, and botanically correct 3D plant models visualized in real-time interactive game engines. Since they are constructed from geometric objects, they can programmatically self-express semantic data and connect to knowledge stores on the Internet to create …</t>
  </si>
  <si>
    <t>C</t>
  </si>
  <si>
    <t>Virtualna stvarnost; dronske snimke samo kao izvor podataka</t>
  </si>
  <si>
    <t>Eddy-covariance fluxes of CO 2 , CH 4 and N 2 O in a drained peatland forest after clear-cutting</t>
  </si>
  <si>
    <t>Biogeosciences</t>
  </si>
  <si>
    <t>Peatlands and Wetlands Ecology</t>
  </si>
  <si>
    <t>https://openalex.org/W4408194576</t>
  </si>
  <si>
    <t>https://doi.org/10.5194/bg-22-1277-2025</t>
  </si>
  <si>
    <t>uav</t>
  </si>
  <si>
    <t>Abstract. Rotation forestry based on clear-cut harvesting, site preparation, planting and intermediate thinnings is currently the dominant management approach in Fennoscandia. However, understanding of the greenhouse gas (GHG) emissions following clear-cutting remains limited, particularly in drained peatland forests. In this study, we report eddy-covariance-based (EC-based) net emissions of carbon dioxide (CO2), methane (CH4) and nitrous oxide (N2O) from a fertile drained boreal peatland forest 1 year after wood harvest. Our results show that, at an annual scale, the site was a net CO2 source. The CO2 emissions dominate the total annual GHG balance (23.3 t CO2 eq. ha−1 yr−1, 22.4–24.1 t CO2…</t>
  </si>
  <si>
    <t>A</t>
  </si>
  <si>
    <t>UAV spektralno snimanje tla u studiji GHG emisija tresetišta</t>
  </si>
  <si>
    <t>River-to-sea plastic pollution: A pilot toolbox for the Caspian Sea</t>
  </si>
  <si>
    <t>Chemosphere</t>
  </si>
  <si>
    <t>Microplastics and Plastic Pollution</t>
  </si>
  <si>
    <t>https://openalex.org/W4414038221</t>
  </si>
  <si>
    <t>https://doi.org/10.1016/j.chemosphere.2025.144667</t>
  </si>
  <si>
    <t>This study presents the first integrated assessment of plastic pollution at the Kura River delta, where the river enters the hydrologically enclosed Caspian Sea. We applied a modular toolbox comprising four complementary components: high-resolution hydrodynamic modeling to predict debris convergence zones, UAV-based mapping to survey shoreline conditions, automated object-based image analysis for debris detection and classification, and standardized field monitoring by trained community participants for ground-truthing and source identification. Using this framework, we identified debris accumulation hotspots and developed a replicable approach for assessing plastic pollution in semi-enclose…</t>
  </si>
  <si>
    <t>UAV kartiranje plastičnog onečišćenja obale</t>
  </si>
  <si>
    <t>Inventory of the quantitative characteristics of single oak trees with nonparametric methods of Support Vector Machines and Decision Tree on satellite images of WorldView-2 and UAV</t>
  </si>
  <si>
    <t>DOAJ (DOAJ: Directory of Open Access Journals)</t>
  </si>
  <si>
    <t>Remote Sensing and LiDAR Applications</t>
  </si>
  <si>
    <t>https://openalex.org/W2892110396</t>
  </si>
  <si>
    <t>https://doi.org/10.22120/jwb.2018.84168.1022</t>
  </si>
  <si>
    <t>To achieve effective forests management it is necessary to obtain reliable statistical data like the number of stands, diameter at breast height (DBH), and ‎crown volume. While traditional methods of the forests measurements are very labor intensive and time consuming, remote sensing can provide up-to-date and low cost ‎data. In comparing ot other sensors, the satellite WV-2 ‎generate very high resolution images that can be used in the forest management practices. In the present study, we aimed to estimate parameters related on the single trees characteristics using decision tree ‎method and Support Vector Machines classification with complex matrix evaluation and Area ‎under operating chara…</t>
  </si>
  <si>
    <t>Inventura hrasta, UAV + satelit, upravljanje šumama</t>
  </si>
  <si>
    <t>A novel waveform-based pixel decomposition method for farmland shelterbelts width extraction using Sentinel−2 multi-spectral and UAV RGB images</t>
  </si>
  <si>
    <t>International Journal of Digital Earth</t>
  </si>
  <si>
    <t>Soil erosion and sediment transport</t>
  </si>
  <si>
    <t>https://openalex.org/W4417196979</t>
  </si>
  <si>
    <t>https://doi.org/10.1080/17538947.2025.2584509</t>
  </si>
  <si>
    <t>As vital components of the Three-North Shelter Forest Program, farmland shelterbelts play a critical role in enhancing agricultural resilience. Among their structural attributes, shelterbelt width stands out as a key parameter that directly influences their ecological effectiveness. This study proposed a novel waveform-based pixel decomposition method (WBPD) for extracting the shelterbelt width. By integrating Sentinel−2 images with UAV-derived orthophoto maps, we extracted fractional coverage (FC) waveforms and enhanced width estimation through refined pixel decomposition. The main findings are as follows: (1) The dimidiate pixel model accurately estimated FC (R² = 0.764, RMSE = 0.15), with…</t>
  </si>
  <si>
    <t>Širina šumskih pojaseva, UAV RGB (ekološka funkcija)</t>
  </si>
  <si>
    <t>Correlation of UAV and satellite-derived vegetation indices with cotton physiological parameters and their use as a tool for scheduling variable rate irrigation in cotton</t>
  </si>
  <si>
    <t>Precision Agriculture</t>
  </si>
  <si>
    <t>Remote Sensing in Agriculture</t>
  </si>
  <si>
    <t>https://openalex.org/W4293531406</t>
  </si>
  <si>
    <t>https://doi.org/10.1007/s11119-022-09948-6</t>
  </si>
  <si>
    <t>uav, unmanned aerial</t>
  </si>
  <si>
    <t>Abstract Current irrigation management zones (IMZs) for variable rate irrigation (VRI) systems are static. They are delineated in the beginning of the season and used thereafter. However, recent research has shown that IMZ boundaries are transient and change with time during the growing season. The primary goal of this study was to explore the potential of using vegetation indices (VIs) developed from unmanned aerial vehicle (UAV) and satellite images to predict cotton physiological parameters that can be used to delineate in-season boundaries of IMZs. A 2 year study was conducted in a 38 ha commercial cotton field in southwestern Georgia, USA. Throughout the two growing seasons, VIs were ca…</t>
  </si>
  <si>
    <t>B</t>
  </si>
  <si>
    <t>Precizna poljoprivreda: pamuk, navodnjavanje</t>
  </si>
  <si>
    <t>Morphometric characterization of the stingless bees, Tetragonula iridipennis Smith (Hymenoptera: Apidae)</t>
  </si>
  <si>
    <t>Journal of Entomology and Zoology Studies</t>
  </si>
  <si>
    <t>Plant and animal studies</t>
  </si>
  <si>
    <t>https://openalex.org/W3088000011</t>
  </si>
  <si>
    <t>drone, drones</t>
  </si>
  <si>
    <t>Although, a good diversity of Tetragonula iridipennis is occurred in Northern Parts of the country, still very less studies have been conduced to explore their habitat and morphological features. Again, morphometry of drones of T. iridipennis is first time recorded in Temperate region/ Northern Parts of India. As by appearance, drone and worker bees look quite similar in appearance, the measurements of drone will help to distinguish them from worker bees. The studies will helpful in colonizing their feral colonies into hives and to design a suitable hives for their domestication.Significant differences were found in various body parts of all three castes. Further, results showed an important…</t>
  </si>
  <si>
    <t>„Drone“ = trut (pčele)</t>
  </si>
  <si>
    <t>Evaluating the Use of Drones Equipped with Thermal Sensors as an Effective Method for Estimating Wildlife</t>
  </si>
  <si>
    <t>Wildlife Society Bulletin</t>
  </si>
  <si>
    <t>Wildlife Ecology and Conservation</t>
  </si>
  <si>
    <t>https://openalex.org/W3021841073</t>
  </si>
  <si>
    <t>https://doi.org/10.1002/wsb.1090</t>
  </si>
  <si>
    <t>ABSTRACT Drones equipped with thermal sensors have shown ability to overcome some of the limitations often associated with traditional human‐occupied aerial surveys (e.g., low detection, high operational cost, human safety risk). However, their accuracy and reliability as a valid population technique have not been adequately tested. We tested the effectiveness of using a miniaturized thermal sensor equipped to a drone (thermal drone) for surveying white‐tailed deer ( Odocoileus virginianus ) populations using a captive deer population with a highly constrained (hereafter, known) abundance (151–163 deer, midpoint 157 [87–94 deer/km 2 , midpoint 90 deer/km 2 ]) at Auburn University's deer rese…</t>
  </si>
  <si>
    <t>Termalni dronovi za popis divljači</t>
  </si>
  <si>
    <t>Advancing Water Hyacinth Recognition: Integration of Deep Learning and Multispectral Imaging for Precise Identification</t>
  </si>
  <si>
    <t>Remote Sensing</t>
  </si>
  <si>
    <t>Coastal wetland ecosystem dynamics</t>
  </si>
  <si>
    <t>https://openalex.org/W4407704902</t>
  </si>
  <si>
    <t>https://doi.org/10.3390/rs17040689</t>
  </si>
  <si>
    <t>The aquatic plant species Eichhornia crassipes, commonly known as water hyacinth, is indigenous to South America and is considered an invasive species. The invasive water hyacinth has caused significant economic and ecological damage by preventing sunlight from penetrating the surface of the water, resulting in the loss of aquatic life. To quantify the invasiveness and address the issue of accurately identifying plant species, water hyacinths have prompted numerous researchers to propose approaches to detect regions occupied by water hyacinths. One such solution involves the utilization of multispectral imaging which obtain detailed information about plant species based on the surface reflec…</t>
  </si>
  <si>
    <t>Invazivna vodena biljka, dron + duboko učenje</t>
  </si>
  <si>
    <t>Semantic Segmentation in Large-Size Orthomosaics to Detect the Vegetation Area in Opuntia spp. Crop</t>
  </si>
  <si>
    <t>Journal of Imaging</t>
  </si>
  <si>
    <t>Botanical Research and Applications</t>
  </si>
  <si>
    <t>https://openalex.org/W4401206527</t>
  </si>
  <si>
    <t>https://doi.org/10.3390/jimaging10080187</t>
  </si>
  <si>
    <t>drones</t>
  </si>
  <si>
    <t>This study focuses on semantic segmentation in crop Opuntia spp. orthomosaics; this is a significant challenge due to the inherent variability in the captured images. Manual measurement of Opuntia spp. vegetation areas can be slow and inefficient, highlighting the need for more advanced and accurate methods. For this reason, we propose to use deep learning techniques to provide a more precise and efficient measurement of the vegetation area. Our research focuses on the unique difficulties posed by segmenting high-resolution images exceeding 2000 pixels, a common problem in generating orthomosaics for agricultural monitoring. The research was carried out on a Opuntia spp. cultivation located …</t>
  </si>
  <si>
    <t>Poljoprivredna kultura Opuntia, segmentacija</t>
  </si>
  <si>
    <t>Evaluating eco-environment in urban agglomeration from a vegetation-impervious surface-soil-air framework: an example in Ningxia, China</t>
  </si>
  <si>
    <t>Journal of Applied Remote Sensing</t>
  </si>
  <si>
    <t>Urban Heat Island Mitigation</t>
  </si>
  <si>
    <t>https://openalex.org/W3138645229</t>
  </si>
  <si>
    <t>https://doi.org/10.1117/1.jrs.15.014518</t>
  </si>
  <si>
    <t>uas</t>
  </si>
  <si>
    <t>Urban agglomerations (UA) are the fastest growing regional types during recent years, especially in developing countries. Monitoring and evaluating the eco-environment quality of UA is significant for sustainability. The previous remote sensing models of urban eco-environment are generally based on the vegetation-impervious surface-soil framework, which neglects the air quality in urban areas. We constructed a vegetation-impervious surface-soil-air (VISA) framework and derived a remote sensing model of UA eco-environment (RSUAE) based on the VISA. The RSUAE can integrate the greenness, dryness and imperviousness, moisture, heat, and air turbidity. The new model was evaluated by comparing wit…</t>
  </si>
  <si>
    <t>„UAS“ = urban agglomerations, nema letjelice</t>
  </si>
  <si>
    <t>Identification and Monitoring of Crop Pests and Diseases Based on Remote Sensing Technology</t>
  </si>
  <si>
    <t>Transactions on Environment Energy and Earth Sciences</t>
  </si>
  <si>
    <t>Remote Sensing and Land Use</t>
  </si>
  <si>
    <t>https://openalex.org/W4405388873</t>
  </si>
  <si>
    <t>https://doi.org/10.62051/btdqj764</t>
  </si>
  <si>
    <t>Identifying and monitoring crop pests and diseases are crucial to agricultural production, and they directly affect crop growth and the quality of agricultural products. This paper reviews crop pest and disease identification and monitoring techniques based on remote sensing imagery, emphasizing their advantages in providing timely and accurate information. The paper mainly summarizes the data sources for crop pest and disease detection, including satellite, UAV, aircraft, ground, and aerial remote sensing data, as well as laboratory monitoring data and seven types of multi-source data fusion. Four remote sensing monitoring techniques were discussed: spectral reflectance analysis, vegetation…</t>
  </si>
  <si>
    <t>Pregled daljinskih istraživanja štetnika usjeva; UAV kao jedan izvor</t>
  </si>
  <si>
    <t>Contribution of Lightweight Revolving Laser Scanner, HiRes UAV LiDARs and Photogrammetry for Characterization of Coastal Aeolian Morphologies</t>
  </si>
  <si>
    <t>Journal of Coastal Research</t>
  </si>
  <si>
    <t>Aeolian processes and effects</t>
  </si>
  <si>
    <t>https://openalex.org/W3015499049</t>
  </si>
  <si>
    <t>https://doi.org/10.2112/si95-213.1</t>
  </si>
  <si>
    <t>Garcin, M.; Desmazes, F.; Nicolae Lerma, A.; Gouguet, L., and Météreau, V., 2020. Contribution of Lightweight Revolving Laser Scanner, HiRes UAV LiDARs and photogrammetry for characterization of coastal aeolian morphologies. In: Malvárez, G. and Navas, F. (eds.), Global Coastal Issues of 2020. Journal of Coastal Research, Special Issue No. 95, pp. 1094–1100. Coconut Creek (Florida), ISSN 0749-0208.The monitoring of coastal dunes changes in a context of climate change is a major issue for assessment of coastal hazards. While shoreline retreat and beach erosion are generally well characterized within coastal observatories, the monitoring of dunes changes under aeolian-driven processes are freq…</t>
  </si>
  <si>
    <t>Obalne dine, UAV LiDAR i fotogrametrija</t>
  </si>
  <si>
    <t>UAV Photogrammetry-Based Leaf Area Index for Above-Ground Biomass Estimation in Wetlands</t>
  </si>
  <si>
    <t>IEEE Journal of Selected Topics in Applied Earth Observations and Remote Sensing</t>
  </si>
  <si>
    <t>https://openalex.org/W4409261290</t>
  </si>
  <si>
    <t>https://doi.org/10.1109/jstars.2025.3558893</t>
  </si>
  <si>
    <t>Wetlands are highly productive and biologically diverse environments that provide numerous ecosystem services. Effective monitoring methods are critical to ensure their preservation and management. This paper used UAV-derived RGB images and SfM photogrammetry to create point clouds. Primary tie points were utilized as they are the more suitable representation of the raw 3D information of the common features from the overlapping images. A Leaf Area Index (LAI) estimation workflow for LiDAR was then tested on the UAV-SfM point cloud of two wetland types – alpine peatland and coastal salt marsh- to assess its applicability. The LAI and AGB values for the peatland were 0.75 – 2.58 and 0 – 318.8 …</t>
  </si>
  <si>
    <t>Biomasa močvara UAV fotogrametrijom</t>
  </si>
  <si>
    <t>An Improved Multi-Platform Stacked D-InSAR Method for Monitoring the Three-Dimensional Deformation of the Mining Area</t>
  </si>
  <si>
    <t>IEEE Access</t>
  </si>
  <si>
    <t>Synthetic Aperture Radar (SAR) Applications and Techniques</t>
  </si>
  <si>
    <t>https://openalex.org/W3158257030</t>
  </si>
  <si>
    <t>https://doi.org/10.1109/access.2021.3076065</t>
  </si>
  <si>
    <t>unmanned aerial</t>
  </si>
  <si>
    <t>The acquisition of information on fine surface three-dimensional deformation in a goaf is of great significance for the in-depth understanding of the law of mining subsidence and guiding the safe production and ecological restoration of the mining area. In this paper, three platform SAR satellite images are used for stacked D-InSAR processing to obtain the information on surface deformation in three line-of-sight directions. An improved three-dimensional decomposition model is proposed based on the difference between the COSMO-SkyMed and TerraSAR-X satellite heading angles, which are very small. The proposed method is verified by evaluating the three-dimensional deformation of the ground sur…</t>
  </si>
  <si>
    <t>Deformacije rudarskog područja, UAV fotogrametrija kao pomoćni podatak</t>
  </si>
  <si>
    <t>Investigation of Combining Deep Learning Object Recognition with Drones for Forest Fire Detection and Monitoring</t>
  </si>
  <si>
    <t>International Journal of Advanced Computer Science and Applications</t>
  </si>
  <si>
    <t>Fire Detection and Safety Systems</t>
  </si>
  <si>
    <t>https://openalex.org/W4362571254</t>
  </si>
  <si>
    <t>https://doi.org/10.14569/ijacsa.2023.0140342</t>
  </si>
  <si>
    <t>drones, uavs, unmanned aerial</t>
  </si>
  <si>
    <t>Forest fires are a global environmental problem that can cause significant damage to natural resources and human lives. The increasing frequency and severity of forest fires have resulted in substantial losses of natural resources. To mitigate this, an effective fire detection and monitoring system is crucial. This work aims to explore and review the current advancement in the field of forest fire detection and monitoring using both drones or unmanned aerial vehicles (UAVs), and deep learning techniques. The utilization of drones fully equipped with specific sensors and cameras provides a cost-effective and efficient solution for real-time monitoring and early fire detection. In this paper, …</t>
  </si>
  <si>
    <t>Detekcija šumskih požara dronovima</t>
  </si>
  <si>
    <t>Population Size and Spatial Distribution of the Mexican Blind Cavefish (Astyanax) within the Caves</t>
  </si>
  <si>
    <t>Fishes</t>
  </si>
  <si>
    <t>Subterranean biodiversity and taxonomy</t>
  </si>
  <si>
    <t>https://openalex.org/W4401894579</t>
  </si>
  <si>
    <t>https://doi.org/10.3390/fishes9090334</t>
  </si>
  <si>
    <t>The most studied cavefish in the world is Astyanax mexicanus, and the most frequently used specimens in research come from the Pachón cave in Northeast Mexico. A recent study using the capture–mark–recapture technique revealed that the Pachón population size is only in the hundreds of individuals, not in the thousands. This result raises serious concerns about their long-term survival and highlights the need to accurately estimate the population size of other Astyanax caves. In our study, we used a well-established, non-invasive method for estimating population size: the transect sampling method, which counts the abundance of organisms along a line at regular intervals. We used the 310 m lon…</t>
  </si>
  <si>
    <t>Populacija špiljske ribe, dronovi u nepristupačnim galerijama</t>
  </si>
  <si>
    <t>Comparison of Outdoor Compost Pile Detection Using Unmanned Aerial Vehicle Images and Various Machine Learning Techniques</t>
  </si>
  <si>
    <t>Drones</t>
  </si>
  <si>
    <t>https://openalex.org/W3157060625</t>
  </si>
  <si>
    <t>https://doi.org/10.3390/drones5020031</t>
  </si>
  <si>
    <t>Since outdoor compost piles (OCPs) contain large amounts of nitrogen and phosphorus, they act as a major pollutant that deteriorates water quality, such as eutrophication and green algae, when the OCPs enter the river during rainfall. In South Korea, OCPs are frequently used, but there is a limitation that a lot of manpower and budget are consumed to investigate the current situation, so it is necessary to efficiently investigate the OCPs. This study compared the accuracy of various machine learning techniques for the efficient detection and management of outdoor compost piles (OCPs), a non-point pollution source in agricultural areas in South Korea, using unmanned aerial vehicle (UAV) image…</t>
  </si>
  <si>
    <t>Detekcija kompostnih hrpi (zaštita voda) UAV-om</t>
  </si>
  <si>
    <t>Review of microclimate mapping methods in forestry</t>
  </si>
  <si>
    <t>Revista de la Facultad de Agronomía</t>
  </si>
  <si>
    <t>https://openalex.org/W4405805956</t>
  </si>
  <si>
    <t>https://doi.org/10.47280/revfacagron(luz).v42.n1.iv</t>
  </si>
  <si>
    <t>drones, uav, uas, rpas</t>
  </si>
  <si>
    <t>The study of microclimates provides a several benefits that imply their importance to reduce the effects of climate change, so the mapping of microclimates emerges as an alternative for their identification and conservation. The objective of this review is to identify the techniques used in microclimate mapping. The methodology used was an exploratory review in databases such as Science Direct, Springer and IEEXplore, which determined that there is a shortage of works related to microclimate mapping, since only 19 works met the inclusion requirements of the review. It was determined that the main objective of the microclimate mapping focused on the tree canopy, the height and density of the …</t>
  </si>
  <si>
    <t>Pregled kartiranja mikroklime u šumarstvu, uklj. dronove</t>
  </si>
  <si>
    <t>Eleven Stills</t>
  </si>
  <si>
    <t>Prairie schooner</t>
  </si>
  <si>
    <t>COVID-19 impact on air quality</t>
  </si>
  <si>
    <t>https://openalex.org/W4392500562</t>
  </si>
  <si>
    <t>https://doi.org/10.1353/psg.2023.a920351</t>
  </si>
  <si>
    <t>Eleven Stills David Naimon (bio) Results suggest that the share of the world's population travelling by air in 2018 was 11%, with at most 4% taking international flights. global environmental change, volume 65, november 2020 1 One of the oldest beings in Europe has stood in the same place for three thousand to five thousand years. Older than Ancient Greece. Legend has it that Pontius Pilate was born beneath its canopy. Wars, plagues, human and natural disasters alike, the Fortingall Yew stood stationary and still regardless. That is, until this very year, when mysteriously, this yew, a male tree, a producer of small cones, a pollinator, decided to be something else, someone else. No longer o…</t>
  </si>
  <si>
    <t>Književni tekst</t>
  </si>
  <si>
    <t>Field Deployment of BiodivX Drones in the Amazon Rainforest for Biodiversity Monitoring</t>
  </si>
  <si>
    <t>Repository for Publications and Research Data (ETH Zurich)</t>
  </si>
  <si>
    <t>Environmental DNA in Biodiversity Studies</t>
  </si>
  <si>
    <t>https://openalex.org/W7106246328</t>
  </si>
  <si>
    <t>https://doi.org/10.3929/ethz-c-000787719</t>
  </si>
  <si>
    <t>Tropical rainforests are among the most biodiverse ecosystems on Earth and also among the most threatened by anthropogenic pressures such as deforestation and climate change. Understanding human impact and the efficacy of conservation and preservation efforts requires scalable and comprehensive biodiversity monitoring solutions. As a winning finalist of the XPRIZE Rainforest Competition, ETH BiodivX collected biodiversity data from 100 ha of rainforest in the Amazon, in 24 h. A suite of complementary data types were captured, from remote sensing maps and close-up images to surface and water environmental DNA (eDNA), along with canopy rafts that collect specimens, close-up images, and bioacou…</t>
  </si>
  <si>
    <t>Dronovi za praćenje bioraznolikosti Amazone</t>
  </si>
  <si>
    <t>Camouflaged people detection based on a semi-supervised search identification network</t>
  </si>
  <si>
    <t>Defence Technology</t>
  </si>
  <si>
    <t>Visual Attention and Saliency Detection</t>
  </si>
  <si>
    <t>https://openalex.org/W3200988226</t>
  </si>
  <si>
    <t>https://doi.org/10.1016/j.dt.2021.09.004</t>
  </si>
  <si>
    <t>uav, uavs, unmanned aerial</t>
  </si>
  <si>
    <t>Automated detection of military people based on the images in different environments plays an important role in accurately completing military missions. With the equipment gradually moving towards intelligence, unmanned aerial vehicles (UAVs) will be widely used for integrated reconnaissance/attack in the future. The lightweight and compact design of the small UAV allows it to travel through dense forests and other environments to capture images with its convenient mobility. However, as the camouflage has been designed to blend in with surroundings, which greatly reduces the probability of the target being discovered. Moreover, the lack of training data on camouflaged people detection will i…</t>
  </si>
  <si>
    <t>Vojna detekcija ljudi; šuma samo kao okolina</t>
  </si>
  <si>
    <t>Evaluation of Rapeseed Winter Crop Damage Using UAV-Based Multispectral Imagery</t>
  </si>
  <si>
    <t>https://openalex.org/W3049163417</t>
  </si>
  <si>
    <t>https://doi.org/10.3390/rs12162618</t>
  </si>
  <si>
    <t>This research is related to the exploitation of multispectral imagery from an unmanned aerial vehicle (UAV) in the assessment of damage to rapeseed after winter. Such damage is one of a few cases for which reimbursement may be claimed in agricultural insurance. Since direct measurements are difficult in such a case, mainly because of large, unreachable areas, it is therefore important to be able to use remote sensing in the assessment of the plant surface affected by frost damage. In this experiment, UAV images were taken using a Sequoia multispectral camera that collected data in four spectral bands: green, red, red-edge, and near-infrared. Data were acquired from three altitudes above the …</t>
  </si>
  <si>
    <t>Šteta na uljanoj repici (osiguranje)</t>
  </si>
  <si>
    <t>Accuracy Assessment of Deep Learning Based Classification of LiDAR and UAV Points Clouds for DTM Creation and Flood Risk Mapping</t>
  </si>
  <si>
    <t>Geosciences</t>
  </si>
  <si>
    <t>https://openalex.org/W2963771652</t>
  </si>
  <si>
    <t>https://doi.org/10.3390/geosciences9070323</t>
  </si>
  <si>
    <t>Digital elevation model (DEM) has been frequently used for the reduction and management of flood risk. Various classification methods have been developed to extract DEM from point clouds. However, the accuracy and computational efficiency need to be improved. The objectives of this study were as follows: (1) to determine the suitability of a new method to produce DEM from unmanned aerial vehicle (UAV) and light detection and ranging (LiDAR) data, using a raw point cloud classification and ground point filtering based on deep learning and neural networks (NN); (2) to test the convenience of rebalancing datasets for point cloud classification; (3) to evaluate the effect of the land cover class…</t>
  </si>
  <si>
    <t>DEM iz UAV/LiDAR za rizik poplave (hidrologija/hazard)</t>
  </si>
  <si>
    <t>The Application of UASs in Forest Management and Monitoring: Challenges and Opportunities for Use in the Miombo Woodland</t>
  </si>
  <si>
    <t>Forests</t>
  </si>
  <si>
    <t>https://openalex.org/W4308118183</t>
  </si>
  <si>
    <t>https://doi.org/10.3390/f13111812</t>
  </si>
  <si>
    <t>uas, unmanned aerial</t>
  </si>
  <si>
    <t>The Miombo woodland is the most extensive tropical woodland in south-central Africa. However, field sample plot data on forest cover changes, species distribution and carbon stocks in the Miombo ecoregion are inadequate for effective forest management. Owing to logistical challenges that come with field-based inventory methods, remote sensing plays an important role in supplementing field methods to fill in data gaps. Traditional satellite and manned aircraft remote sensing platforms have their own advantages and limitations. The advent of unmanned aerial systems (UASs) has made it possible to acquire forest data at unprecedented spatial and temporal scales. UASs are adaptable to various for…</t>
  </si>
  <si>
    <t>UAS u upravljanju šumama Miombo</t>
  </si>
  <si>
    <t>Small Unmanned Aircraft Systems for Low‐Altitude Aerial Surveys</t>
  </si>
  <si>
    <t>Journal of Wildlife Management</t>
  </si>
  <si>
    <t>https://openalex.org/W2057906660</t>
  </si>
  <si>
    <t>https://doi.org/10.1111/j.1937-2817.2010.tb01292.x</t>
  </si>
  <si>
    <t>uas, unmanned aircraft</t>
  </si>
  <si>
    <t>Abstract: Unmanned aircraft systems (UASs) are proposed as a useful alternative to manned aircraft for some aerial wildlife surveys. We described the components and current capabilities of a small UAS developed specifically for wildlife and ecological surveys that is currently in field use for a variety of applications. We also reviewed government regulations currently affecting the use of UASs in civilian airspace. Information on capabilities and regulations will be valuable for agencies and individuals interested in the potential UASs offer for monitoring wildlife populations and their habitat. Descriptions of current uses and recommendations for future employment will be helpful in implem…</t>
  </si>
  <si>
    <t>Mali UAS za popise divljači</t>
  </si>
  <si>
    <t>Instance segmentation method for weed detection using UAV imagery in soybean fields</t>
  </si>
  <si>
    <t>Computers and Electronics in Agriculture</t>
  </si>
  <si>
    <t>Smart Agriculture and AI</t>
  </si>
  <si>
    <t>https://openalex.org/W4381435793</t>
  </si>
  <si>
    <t>https://doi.org/10.1016/j.compag.2023.107994</t>
  </si>
  <si>
    <t>(sažetak nije dostupan — otvoriti poveznicu)</t>
  </si>
  <si>
    <t>Korovi u soji</t>
  </si>
  <si>
    <t>Drones and technopreneurship in Malaysia: unlocking the economic potential of drones in built environment development</t>
  </si>
  <si>
    <t>Universiti Putra Malaysia Institutional Repository (Universiti Putra Malaysia)</t>
  </si>
  <si>
    <t>UAV Applications and Optimization</t>
  </si>
  <si>
    <t>https://openalex.org/W7155285149</t>
  </si>
  <si>
    <t>drone, drones, unmanned aerial</t>
  </si>
  <si>
    <t>Drones, with diverse technological capabilities, are poised to revolutionise various traditional tasks, particularly in-built environment development while driving economic growth, innovation, and job creation. Within the Malaysian context, drones have evolved beyond recreational use to become sophisticated unmanned aerial vehicles with untapped business potential. Against this backdrop, this paper explores a comprehensive review of drone development in Malaysia. Using a multidisciplinary approach, the review includes selected publication data from academic journals and online media published between 2018 and 2023, complemented with insights gathered from expert interviews. Aiming to bridge …</t>
  </si>
  <si>
    <t>Poduzetništvo s dronovima</t>
  </si>
  <si>
    <t>Review of Technologies and Architectures for UAV-Air Quality Monitoring in Hazardous Environments</t>
  </si>
  <si>
    <t>Zenodo (CERN European Organization for Nuclear Research)</t>
  </si>
  <si>
    <t>https://openalex.org/W7117579206</t>
  </si>
  <si>
    <t>https://doi.org/10.5281/zenodo.18080722</t>
  </si>
  <si>
    <t>Certain technologies enable remote monitoring in hazardous environments. These technologies range from wired and wireless communication, sensors, IoT, waste management, and cloud technologies. This paper reviews the technologies and architectures for Unmanned Aerial Vehicles' air quality monitoring systems in hazardous environments. It exposes the technologies and protocols associated with the UAV hardware, gas sensing, storage, and transmission. This paper identifies and discusses UAVs in air quality monitoring, IoT, wired and wireless communication technologies, choices, and applications in air quality monitoring in Hazardous environments.</t>
  </si>
  <si>
    <t>Pregled UAV sustava za praćenje kakvoće zraka</t>
  </si>
  <si>
    <t>Strategic AI-Oriented Compliance Optimization Models for FinTechs Operating Across Multi-Jurisdictional Financial Ecosystems</t>
  </si>
  <si>
    <t>International Journal of Advanced Multidisciplinary Research and Studies</t>
  </si>
  <si>
    <t>FinTech, Crowdfunding, Digital Finance</t>
  </si>
  <si>
    <t>https://openalex.org/W4412640527</t>
  </si>
  <si>
    <t>https://doi.org/10.62225/2583049x.2025.5.4.4592</t>
  </si>
  <si>
    <t>(nije u naslovu/sažetku)</t>
  </si>
  <si>
    <t>The expansion of FinTech enterprises across international financial ecosystems has introduced complex compliance challenges stemming from heterogeneous regulatory environments. This review investigates the strategic deployment of Artificial Intelligence (AI) to enhance regulatory compliance across jurisdictions, focusing on automation, adaptability, and real-time responsiveness. It explores AI-driven frameworks—including Natural Language Processing (NLP), Machine Learning (ML), and Robotic Process Automation (RPA)—to optimize regulatory interpretation, anti-money laundering (AML) procedures, and Know Your Customer (KYC) requirements. The study further examines how AI models facilitate risk-b…</t>
  </si>
  <si>
    <t>FinTech; nema UAV pojma u naslovu/sažetku</t>
  </si>
  <si>
    <t>Quantifying Waterfowl Numbers: Comparison of Drone and Ground-Based Survey Methods for Surveying Waterfowl on Artificial Waterbodies</t>
  </si>
  <si>
    <t>https://openalex.org/W3119555133</t>
  </si>
  <si>
    <t>https://doi.org/10.3390/drones5010005</t>
  </si>
  <si>
    <t>Drones are becoming a common method for surveying wildlife as they offer an aerial perspective of the landscape. For waterbirds in particular, drones can overcome challenges associated with surveying locations not accessible on foot. With the rapid uptake of drone technology for bird surveys, there is a need to compare and calibrate new technologies with existing survey methods. We compared waterfowl counts derived from ground- and drone-based survey methods. We sought to determine if group size and waterbody size influenced the difference between counts of non-nesting waterfowl and if detection of species varied between survey methods. Surveys of waterfowl were carried out at constructed ir…</t>
  </si>
  <si>
    <t>Dron vs. terenski popis vodenih ptica</t>
  </si>
  <si>
    <t>Evaluating temporal trends in behavior and demographics to understand the lack of recovery of an endangered whale population</t>
  </si>
  <si>
    <t>Mspace (University of Manitoba)</t>
  </si>
  <si>
    <t>Marine animal studies overview</t>
  </si>
  <si>
    <t>https://openalex.org/W7137536149</t>
  </si>
  <si>
    <t>Beluga whales (Delphinapterus leucas) are critical components of the Arctic marine ecosystem, and they face numerous threats from environmental changes and human activities. Understanding their population dynamics, habitat use, and social structure is crucial for their conservation. The research outlined here investigates the endangered Cumberland Sound beluga whale population using various techniques including drone surveys, aerial surveys, and satellite telemetry. The thesis begins with an overview of beluga whale ecology, behavior, and the threats they face, and explores how many of these aspects vary between populations. Satellite telemetry was used to explore behavioral trends, revealin…</t>
  </si>
  <si>
    <t>Beluge, dronski popisi</t>
  </si>
  <si>
    <t>TLS2trees : A scalable tree segmentation pipeline for TLS data</t>
  </si>
  <si>
    <t>Methods in Ecology and Evolution</t>
  </si>
  <si>
    <t>https://openalex.org/W4387845585</t>
  </si>
  <si>
    <t>https://doi.org/10.1111/2041-210x.14233</t>
  </si>
  <si>
    <t>Abstract Above‐ground biomass (AGB) is an important metric used to quantify the mass of carbon stored in terrestrial ecosystems. For forests, this is routinely estimated at the plot scale (typically 1 ha) using inventory measurements and allometry. In recent years, terrestrial laser scanning (TLS) has appeared as a disruptive technology that can generate a more accurate assessment of tree and plot scale AGB; however, operationalising TLS methods has had to overcome a number of challenges. One such challenge is the segmentation of individual trees from plot level point clouds that are required to estimate woody volume, this is often done manually (e.g. with interactive point cloud editing sof…</t>
  </si>
  <si>
    <t>TLS segmentacija stabala; UAV spomenut kao proširenje</t>
  </si>
  <si>
    <t>Old-growth mapping in Patagonia’s evergreen forests must integrate GEDI data to overcome NFI data limitations and to effectively support biodiversity conservation</t>
  </si>
  <si>
    <t>Forest Ecology and Management</t>
  </si>
  <si>
    <t>https://openalex.org/W4400416837</t>
  </si>
  <si>
    <t>https://doi.org/10.1016/j.foreco.2024.122059</t>
  </si>
  <si>
    <t>Kartiranje prašuma GEDI; sažetak nedostupan (provjeriti)</t>
  </si>
  <si>
    <t>Enhancing security and safety in quadcopter drones through unsupervised machine learning</t>
  </si>
  <si>
    <t>UVic’s Research and Learning Repository (University of Victoria)</t>
  </si>
  <si>
    <t>https://openalex.org/W7199743103</t>
  </si>
  <si>
    <t>The increasing deployment of drones in various sectors has raised significant security concerns regarding their vulnerability to cyber-attacks and sensor data manipulation. Our project presents a comprehensive anomaly detection system designed to enhance drone security and safety through unsupervised machine learning. The implementation utilized a custom drone platform based on open-source components, enabling complete access to system internals and sensor data for security monitoring. Through systematic vulnerability analysis and testing, the project collected an extensive dataset comprising approximately 11.5 million network traffic samples and 1.25 million MAVLink messages, representing b…</t>
  </si>
  <si>
    <t>Sigurnost kvadkoptera</t>
  </si>
  <si>
    <t>Elevate: Autonomous Pollution Surveillance System</t>
  </si>
  <si>
    <t>Automation and Autonomous Systems</t>
  </si>
  <si>
    <t>Air Quality Monitoring and Forecasting</t>
  </si>
  <si>
    <t>https://openalex.org/W2898544168</t>
  </si>
  <si>
    <t>Epidemiological studies have shown that a close association is found between elevated air pollution levels and exacerbating cases of cardiovascular and respiratory diseases among older people and kids. Moreover, the presence of fine particulate in air makes it un-healthy to breathe which leads to lung cancer and cardiopulmonary mortality. Thus, in order to deploy effective air pollution control strategies, it is necessary to keep track of air quality levels throughout the day. The technology enabled solutions are required to collect and analyze air quality. In this research article, a novel hardware named “Elevate” has been proposed with aim to monitor air quality over a period of time. Basi…</t>
  </si>
  <si>
    <t>Dron za nadzor onečišćenja zraka</t>
  </si>
  <si>
    <t>Monitoring and zoning soybean maturity using UAV remote sensing</t>
  </si>
  <si>
    <t>Industrial Crops and Products</t>
  </si>
  <si>
    <t>https://openalex.org/W4402081459</t>
  </si>
  <si>
    <t>https://doi.org/10.1016/j.indcrop.2024.119470</t>
  </si>
  <si>
    <t>Zrelost soje</t>
  </si>
  <si>
    <t>Progress in the application of remote sensing for water quality and human health mapping in informal settlements of South Africa: A review</t>
  </si>
  <si>
    <t>Scientific African</t>
  </si>
  <si>
    <t>Water Quality and Pollution Assessment</t>
  </si>
  <si>
    <t>https://openalex.org/W4409994142</t>
  </si>
  <si>
    <t>https://doi.org/10.1016/j.sciaf.2025.e02718</t>
  </si>
  <si>
    <t>uavs, unmanned aerial</t>
  </si>
  <si>
    <t>Informal settlements in South Africa are a part of the urban landscape which is impossible to ignore due to their socio-economic contribution to the urban economies. However, the rapid expansion of these settlements exposes the population to various environmental hazards such as floods, pollution, and waterborne diseases and thus requires continuous monitoring. The use of remote sensing data has proved very effective for mapping water bodies, water quality, flood risk and water-borne diseases in parts of the world and in South Africa. This review highlights the extent to which remote sensing technology was used for mapping water quality in informal settlements, water-borne diseases, challeng…</t>
  </si>
  <si>
    <t>Kakvoća vode u neformalnim naseljima; UAV preporučen</t>
  </si>
  <si>
    <t>Automated sugar beet seedling detection and mapping using a UAV-borne RGB camera and deep learning techniques</t>
  </si>
  <si>
    <t>Agroinženeriâ</t>
  </si>
  <si>
    <t>https://openalex.org/W7117460984</t>
  </si>
  <si>
    <t>https://doi.org/10.26897/2687-1149-2025-6-4-16</t>
  </si>
  <si>
    <t>Accurate and timely assessment of plant stand density is crucial for modern crop production, directly impacting sugar beet yield and profitability. This study aims to develop and validate a highly accurate automated method for counting sugar beet seedlings using unmanned aerial vehicles (UAVs) and deep learning algorithms, optimizing both precision and processing speed. Field experiments were conducted in 2025 on commercial sugar beet fields in the Buzdyak district of the Republic of Bashkortostan. A DJI Phantom 4 Pro UAV equipped with an RGB camera captured aerial imagery from a 20-meter altitude. Initial vegetation segmentation employed the Excess Green (ExG) index, followed by binarizatio…</t>
  </si>
  <si>
    <t>Šećerna repa, brojanje sadnica</t>
  </si>
  <si>
    <t>Urban stream deserts: Mapping a legacy of urbanization in the United States</t>
  </si>
  <si>
    <t>Applied Geography</t>
  </si>
  <si>
    <t>Land Use and Ecosystem Services</t>
  </si>
  <si>
    <t>https://openalex.org/W2222420283</t>
  </si>
  <si>
    <t>https://doi.org/10.1016/j.apgeog.2015.12.008</t>
  </si>
  <si>
    <t>Urbani potoci; sažetak nedostupan (provjeriti)</t>
  </si>
  <si>
    <t>UAV remote sensing phenotyping of wheat collection for response to water stress and yield prediction using machine learning</t>
  </si>
  <si>
    <t>Plant Stress</t>
  </si>
  <si>
    <t>https://openalex.org/W4394960550</t>
  </si>
  <si>
    <t>https://doi.org/10.1016/j.stress.2024.100464</t>
  </si>
  <si>
    <t>Water stress is a significant challenge for global food production. Rainfall pattern is becoming unpredictable due to climate change that causes unprecedent water stress conditions in cereals production including wheat which is one of the important staple food crops. To sustain wheat production under water limiting conditions, there is an urgent need to develop drought-tolerant wheat varieties. For this, screening large numbers of wheat genotype for traits related to growth and yield under water stressed conditions is crucial. In this study, we deployed high-throughput phenotyping approaches, including uncrewed aerial vehicle (UAV)-based multispectral imaging, advanced machine and deep learn…</t>
  </si>
  <si>
    <t>Fenotipizacija pšenice</t>
  </si>
  <si>
    <t>Computational Study on Micro-Pilot Flame Ignition Strategy for a Direct Injection Stratified Charge Rotary Engine</t>
  </si>
  <si>
    <t>CORE Scholar (Wright State University)</t>
  </si>
  <si>
    <t>Advanced Combustion Engine Technologies</t>
  </si>
  <si>
    <t>https://openalex.org/W2222754784</t>
  </si>
  <si>
    <t>The Office of Security of Defense's Assured Fuels Initiative has recently been pressing for a single fuel battle space. This endeavor requires modifying many of the vehicle power plants currently in operation throughout the Armed Forces. The RQ-7 Shadow, an unmanned aerial vehicle (UAV) utilized by the Marine Corp and Army for reconnaissance purposes, is powered by UEL's AR741 rotary engine and functions on aviation fuel. One effort underway has been focused on developing this rotary engine system to operate on heavy fuels using direct injection technology and charge stratification. Although the rotary engine has many advantages over standard reciprocating engines, providing a reliable ignit…</t>
  </si>
  <si>
    <t>Motor vojnog UAV-a</t>
  </si>
  <si>
    <t>An Overview of Unmanned Aerial Vehicles Technologies for Office Use and Services Delivery</t>
  </si>
  <si>
    <t>FUDMA Journal of Engineering and Technology</t>
  </si>
  <si>
    <t>https://openalex.org/W7166539008</t>
  </si>
  <si>
    <t>https://doi.org/10.33003/sx3s2787</t>
  </si>
  <si>
    <t>Universities are transforming into smart ecosystems driven (SED) by technology, transforming office logistics from inefficient processes to faster, more efficient, and innovative ones, thereby enhancing modern communication. Quadcopter drones (QCD) with delivery systems are revolutionizing office logistics by increasing efficiency, reducing costs, and boosting productivity. The paper explores the feasibility and functionality of a drone-based system for autonomously transporting small office items, aiming to improve efficiency, reduce human effort, and provide a reliable, secure intra-office delivery method. Unmanned Aerial Vehicles (drones) are transforming office spaces by eliminating huma…</t>
  </si>
  <si>
    <t>Dostava u uredima</t>
  </si>
  <si>
    <t>The Role of Cold-Water Thermal Refuges for Stream Salmonids in a Changing Climate—Experiences from Atlantic Canada</t>
  </si>
  <si>
    <t>Fish Ecology and Management Studies</t>
  </si>
  <si>
    <t>https://openalex.org/W4386966520</t>
  </si>
  <si>
    <t>https://doi.org/10.3390/fishes8090471</t>
  </si>
  <si>
    <t>Thermal refuges are becoming increasingly influential for dictating the population status and spatial distribution of cold-water stenotherm salmonids in the mid- to southern extent of their range. The global climate is predicted to continue to warm, and therefore, the overall thermal suitability of freshwater habitats for stream salmonids is predicted to decline in concert. However, stream and river thermal heterogeneity will offer considerable resiliency for these populations. Thermal refuges are formed by many physical processes; common natural refuges include cold tributary plumes, groundwater springs, alcoves, and hyporheic upwellings. However, many anthropogenically formed refuges (such…</t>
  </si>
  <si>
    <t>Termalni refugiji salmonida; dronske termalne kamere</t>
  </si>
  <si>
    <t>Iterative Morphological Filtering for DEM Generation: Improving Accuracy and Robustness in Complex Terrains</t>
  </si>
  <si>
    <t>Applied Sciences</t>
  </si>
  <si>
    <t>https://openalex.org/W4415811117</t>
  </si>
  <si>
    <t>https://doi.org/10.3390/app152111683</t>
  </si>
  <si>
    <t>Accurate terrain modeling from high-resolution digital surface models (DSM) is critical for geosciences, geology, geomorphology, earthquake studies, and applied geology. However, existing filtering methods such as progressive morphological filtering (PMF), cloth simulation filtering (CSF), and progressive TIN densification (TIN) often struggle with complex topography and urban structures, leading to either excessive ground loss or incomplete object removal. Furthermore, some of these algorithms are only specialized for point cloud data and are not optimized for grid data. To address these limitations, we propose an iterative morphological filtering (IMF) algorithm that introduces a binary su…</t>
  </si>
  <si>
    <t>Filtriranje DEM-a (geoznanosti)</t>
  </si>
  <si>
    <t>Advancing crocodiles conservation through aerial ecological monitoring with drones in West Africa</t>
  </si>
  <si>
    <t>Fish Biology and Ecology Studies</t>
  </si>
  <si>
    <t>https://openalex.org/W4414883922</t>
  </si>
  <si>
    <t>https://doi.org/10.22271/j.ento.2025.v13.i5a.9609</t>
  </si>
  <si>
    <t>Crocodilians play an essential ecological role in West African freshwater ecosystems. However, monitoring them remains difficult due to their secretive behaviour and inaccessible habitats. This study examines the potential of using drones to monitor populations of the species Crocodylus suchus in a sacred pool in northern Benin. During the study, drone flights were conducted at various altitudes (15, 30 and 50 meters), speeds (0 and 2 meters per second) and approach angles (vertical and oblique). Environmental conditions such as land cover, contrast between the animals and the landscape, and observer effort were also assessed. A total of 54 flights were conducted to collect image and video s…</t>
  </si>
  <si>
    <t>Krokodili, dronski monitoring</t>
  </si>
  <si>
    <t>Digital Phenotyping in Plant Breeding: Evaluating Relative Maturity, Stand Count, and Plant Height in Dry Beans via RGB Drone-Based Imagery and Deep Learning Approaches</t>
  </si>
  <si>
    <t>https://openalex.org/W4383863871</t>
  </si>
  <si>
    <t>https://doi.org/10.5281/zenodo.7922589</t>
  </si>
  <si>
    <t>drone, uas</t>
  </si>
  <si>
    <t>The datasets included were collected from the MSU dry bean breeding project sites in planting seasons 2020, 2021 and 2022. Specific planting season includes the digital surface models (DSM), digital terrain model (DTM) or point cloud (PC) from above and soil level generated using the raw images, plot boundary delimitations (.shp), and the ground-truth notes to plant height (PH) estimation. /2020: This directory contains 4 folders /a._Ground_notes 1. 2020 N&amp;B Raw.xlsx Ground truth notes collected in 2020 at SVREC location for Black and Navy bean market classes. /b._Shapefiles Plot boundaries files (.shp) and field area from 2020 SVREC location containing plot level information using the breed…</t>
  </si>
  <si>
    <t>Fenotipizacija graha (skup podataka)</t>
  </si>
  <si>
    <t>Preliminary analysis of landslide hazard in Brunei Darussalam, SE Asia</t>
  </si>
  <si>
    <t>Environmental Earth Sciences</t>
  </si>
  <si>
    <t>Landslides and related hazards</t>
  </si>
  <si>
    <t>https://openalex.org/W3188337667</t>
  </si>
  <si>
    <t>https://doi.org/10.1007/s12665-021-09815-z</t>
  </si>
  <si>
    <t>Klizišta Brunei; sažetak nedostupan (provjeriti)</t>
  </si>
  <si>
    <t>Real-Time Vision–Language Analysis for Autonomous Underwater Drones: A Cloud–Edge Framework Using Qwen2.5-VL</t>
  </si>
  <si>
    <t>Underwater Vehicles and Communication Systems</t>
  </si>
  <si>
    <t>https://openalex.org/W4413773129</t>
  </si>
  <si>
    <t>https://doi.org/10.3390/drones9090605</t>
  </si>
  <si>
    <t>Autonomous Underwater Vehicles (AUVs) equipped with vision systems face unique challenges in real-time environmental perception due to harsh underwater conditions and computational constraints. This paper presents a novel cloud–edge framework for real-time vision–language analysis in underwater drones using the Qwen2.5-VL model. Our system employs a uniform frame sampling mechanism that balances temporal resolution with processing capabilities, achieving near real-time analysis at 1 fps from 23 fps input streams. We construct a comprehensive data flow model encompassing image enhancement, communication latency, cloud-side inference, and semantic result return, which is supported by a theoret…</t>
  </si>
  <si>
    <t>Podvodni dronovi (nisu UAV)</t>
  </si>
  <si>
    <t>Effects of flooding stress on the saltmarsh halophyte Salicornia fruticosa (L.) L.: upscaling perspectives</t>
  </si>
  <si>
    <t>Research at the University of Copenhagen (University of Copenhagen)</t>
  </si>
  <si>
    <t>https://openalex.org/W4412282790</t>
  </si>
  <si>
    <t>One of the major aftermaths of global warming is the ongoing global sea level rise, which is expected to seriously treat the worldwide coasts. Among coastal environments, saltmarshes are particularly sensitive to the increase of flooding and frequency of storm surges. Indeed, although saltmarshes respond with a sediment accretion and coastal niche shifting, sea rise rates and the coastal squeeze phenomenon jeopardize the acclimation capacity of saltmarsh species and plant communities. For these reasons, monitoring and studying the response of saltmarshes to flooding is crucial to understand the fate of these fragile ecosystems. For a comprehensive understanding of these processes, it is nece…</t>
  </si>
  <si>
    <t>Slana močvara, UAV multispektralno</t>
  </si>
  <si>
    <t>Segmenting vegetation from UAV images via spectral reconstruction in complex field environments</t>
  </si>
  <si>
    <t>Plant Phenomics</t>
  </si>
  <si>
    <t>https://openalex.org/W4408073201</t>
  </si>
  <si>
    <t>https://doi.org/10.1016/j.plaphe.2025.100021</t>
  </si>
  <si>
    <t>Segmentation of vegetation remote sensing images can minimize the interference of background, thus achieving efficient monitoring and analysis for vegetation information. The segmentation of vegetation poses a significant challenge due to the inherently complex environmental conditions. Currently, there is a growing trend of using spectral sensing combined with deep learning for field vegetation segmentation to cope with complex environments. However, two major constraints remain: the high cost of equipment required for field spectral data collection; the availability of field datasets is limited and data annotation is time-consuming and labor-intensive. To address these challenges, we propo…</t>
  </si>
  <si>
    <t>Segmentacija vegetacije u poljoprivrednim poljima</t>
  </si>
  <si>
    <t>Multi-temporal UAV-borne LiDAR point clouds for vegetation analysis - a case study</t>
  </si>
  <si>
    <t>EGUGA</t>
  </si>
  <si>
    <t>https://openalex.org/W3020319779</t>
  </si>
  <si>
    <t>Višekratni UAV LiDAR za analizu vegetacije</t>
  </si>
  <si>
    <t>Coastal transgressive dunefield evolution as a response to multi-decadal shoreline erosion</t>
  </si>
  <si>
    <t>Geomorphology</t>
  </si>
  <si>
    <t>https://openalex.org/W4393132234</t>
  </si>
  <si>
    <t>https://doi.org/10.1016/j.geomorph.2024.109165</t>
  </si>
  <si>
    <t>The Younghusband Peninsula coastal barrier extends ~190 km and is predominantly comprised of a mix of active, semi-stabilised and stabilised (relict) transgressive and parabolic dunefields. Wave driven shoreline erosion has triggered the rapid development of a transgressive dunefield along a portion the peninsula. This study focuses on a ~2 km region with the highest regional erosion rates (&gt; −2.0 m/year since 1988), and which has experienced rapid destabilisation and subsequent landward translation of the dunefield. Aerial LIDAR derived datasets of the barrier system from 2008 and 2018 and eight drone photogrammetry surveys between August 2020 and April 2022 are used to compare the rates of…</t>
  </si>
  <si>
    <t>Evolucija obalnih dina, dronska fotogrametrija</t>
  </si>
  <si>
    <t>Machine learning to detect, classify, and count blackbirds damaging agriculture using drone-based imagery: Supporting AI-driven automation for deployment of damage management tools</t>
  </si>
  <si>
    <t>Ecological Informatics</t>
  </si>
  <si>
    <t>https://openalex.org/W4415653642</t>
  </si>
  <si>
    <t>https://doi.org/10.1016/j.ecoinf.2025.103495</t>
  </si>
  <si>
    <t>As human populations expand and land use changes, human-wildlife conflicts are increasing, requiring cost-effective management tools that balance human well-being and wildlife conservation. Hazing devices are often used to mitigate conflicts between wildlife and agriculture with drones serving as both frightening devices and monitoring systems. Artificial intelligence (AI) enables automated detection, identification, and counting of wildlife, allowing for field-based Internet of Things (IoT) systems to selectively deploy tools when target species reach a critical threshold. We acquired drone imagery of mixed-species blackbird flocks – dominated by red-winged blackbirds (RWBL) Agelaius phoeni…</t>
  </si>
  <si>
    <t>Ptice štetnice, sukob divljači i poljoprivrede, dronovi</t>
  </si>
  <si>
    <t>Classification of Ultra-High Resolution Orthophotos Combined with DSM Using a Dual Morphological Top Hat Profile</t>
  </si>
  <si>
    <t>Advanced Image and Video Retrieval Techniques</t>
  </si>
  <si>
    <t>https://openalex.org/W2184116797</t>
  </si>
  <si>
    <t>https://doi.org/10.3390/rs71215840</t>
  </si>
  <si>
    <t>New aerial sensors and platforms (e.g., unmanned aerial vehicles (UAVs)) are capable of providing ultra-high resolution remote sensing data (less than a 30-cm ground sampling distance (GSD)). This type of data is an important source for interpreting sub-building level objects; however, it has not yet been explored. The large-scale differences of urban objects, the high spectral variability and the large perspective effect bring difficulties to the design of descriptive features. Therefore, features representing the spatial information of the objects are essential for dealing with the spectral ambiguity. In this paper, we proposed a dual morphology top-hat profile (DMTHP) using both morpholog…</t>
  </si>
  <si>
    <t>Urbana klasifikacija ortofota</t>
  </si>
  <si>
    <t>Tree Species Classification Based on Point Cloud Completion</t>
  </si>
  <si>
    <t>https://openalex.org/W4407193830</t>
  </si>
  <si>
    <t>https://doi.org/10.3390/f16020280</t>
  </si>
  <si>
    <t>LiDAR is an active remote sensing technology widely used in forestry applications, such as forest resource surveys, tree information collection, and ecosystem monitoring. However, due to the resolution limitations of 3D-laser scanners and the canopy occlusion in forest environments, the tree point clouds obtained often have missing data. This can reduce the accuracy of individual tree segmentation, which subsequently affects the tree species classification. To address the issue, this study used point cloud data with RGB information collected by the UAV platform to improve tree species classification by completing the missing point clouds. Furthermore, the study also explored the effects of p…</t>
  </si>
  <si>
    <t>Klasifikacija vrsta drveća, UAV LiDAR</t>
  </si>
  <si>
    <t>Wildfire-Detection Method Using DenseNet and CycleGAN Data Augmentation-Based Remote Camera Imagery</t>
  </si>
  <si>
    <t>https://openalex.org/W3099352527</t>
  </si>
  <si>
    <t>https://doi.org/10.3390/rs12223715</t>
  </si>
  <si>
    <t>To minimize the damage caused by wildfires, a deep learning-based wildfire-detection technology that extracts features and patterns from surveillance camera images was developed. However, many studies related to wildfire-image classification based on deep learning have highlighted the problem of data imbalance between wildfire-image data and forest-image data. This data imbalance causes model performance degradation. In this study, wildfire images were generated using a cycle-consistent generative adversarial network (CycleGAN) to eliminate data imbalances. In addition, a densely-connected-convolutional-networks-based (DenseNet-based) framework was proposed and its performance was compared w…</t>
  </si>
  <si>
    <t>Detekcija požara; dronske snimke</t>
  </si>
  <si>
    <t>Security, Privacy, and Trust Management on Decentralized Systems and Networks</t>
  </si>
  <si>
    <t>International Journal of Network Management</t>
  </si>
  <si>
    <t>Access Control and Trust</t>
  </si>
  <si>
    <t>https://openalex.org/W4403411766</t>
  </si>
  <si>
    <t>https://doi.org/10.1002/nem.2311</t>
  </si>
  <si>
    <t>With the rapid growth of size and scale in current organization, decentralize systems are becoming dominant, which is an interconnected information system where no single entity or central server is employed as a sole authority, such as Internet of Things (IoT), smart home system, smart city system, and more. For such systems, sensors are important to gather and process data as the lower level components. However, with the distributed deployment, decentralized systems are facing various security, privacy, and trust issues. For instance, any compromised sensor may leak sensitive data or be used to infect other entities within the system. It is also a long-term challenge to establish trust amo…</t>
  </si>
  <si>
    <t>Sigurnost decentraliziranih mreža</t>
  </si>
  <si>
    <t>A Federated Learning Framework for Enhanced Data Security and Cyber Intrusion Detection in Distributed Network of Underwater Drones</t>
  </si>
  <si>
    <t>https://openalex.org/W4406457581</t>
  </si>
  <si>
    <t>https://doi.org/10.1109/access.2025.3530499</t>
  </si>
  <si>
    <t>Underwater drones are vital for scientific research, environmental monitoring, and maritime operations, allowing data collection in challenging environments. However, their deployment faces issues such as low bandwidth, high latency, signal attenuation, and intermittent connectivity due to mobility and water currents. Traditional centralized data processing approaches are inefficient under these conditions as they require transmitting large volumes of raw data to a central location. To address these challenges, this study proposes a Federated Learning (FL) framework specifically tailored for underwater networks. Unlike centralized approaches, FL enables underwater drones to collaboratively t…</t>
  </si>
  <si>
    <t>Podvodni dronovi</t>
  </si>
  <si>
    <t>The Development of Drone Techology and its Regulation in the European Union</t>
  </si>
  <si>
    <t>EU agrarian Law</t>
  </si>
  <si>
    <t>International Law and Aviation</t>
  </si>
  <si>
    <t>https://openalex.org/W4390202040</t>
  </si>
  <si>
    <t>https://doi.org/10.2478/eual-2023-0005</t>
  </si>
  <si>
    <t>drone, drones, uavs, unmanned aerial, unmanned aircraft</t>
  </si>
  <si>
    <t>Abstract Unmanned Aerial Vehicles (UAVs), or drones, have rapidly transformed from niche gadgets to versatile tools with widespread applications across various sectors. This paper investigates the regulatory landscape of drones within the European Union (EU) and its intricate balance between fostering technological innovation and addressing safety, privacy, security, and environmental concerns. Drones’ exponential growth in Europe’s airspace has prompted the EU to establish a legal framework that addresses their multifaceted implications. While drones offer unprecedented opportunities in areas like disaster response and remote sensing, they also pose challenges such as airspace congestion, p…</t>
  </si>
  <si>
    <t>Regulativa dronova u EU (bez okolišne primjene)</t>
  </si>
  <si>
    <t>Field heterogeneity of soil texture controls leaf water potential spatial distribution predicted from UAS-based vegetation indices in non-irrigated vineyards</t>
  </si>
  <si>
    <t>Horticultural and Viticultural Research</t>
  </si>
  <si>
    <t>https://openalex.org/W4406930131</t>
  </si>
  <si>
    <t>https://doi.org/10.5194/bg-22-513-2025</t>
  </si>
  <si>
    <t>Abstract. Grapevine water status exhibits substantial variability even within a single vineyard. Understanding how edaphic, topographic, and climatic conditions impact grapevine water status heterogeneity at the field scale, in non-irrigated vineyards, is essential for winemakers as it significantly influences wine quality. This study aimed to quantify the spatial distribution of grapevine leaf water potential (Ψleaf) within vineyards and to assess the influence of soil property heterogeneity, topography, and climatic conditions on intra-field variability in two non-irrigated vineyards during two viticultural seasons. By combining multilinear vegetation indices from very-high-spatial-resolut…</t>
  </si>
  <si>
    <t>Vinogradi, vodni status</t>
  </si>
  <si>
    <t>UAV Mapping for Flood Routing in Steep and Densely Vegetated Areas: Insights from the Contok River Basin, Garang Watershed, Indonesia</t>
  </si>
  <si>
    <t>Limnotek perairan darat tropis di Indonesia</t>
  </si>
  <si>
    <t>https://openalex.org/W4400466935</t>
  </si>
  <si>
    <t>https://doi.org/10.55981/limnotek.2024.5028</t>
  </si>
  <si>
    <t>This research utilizes photogrammetry to assess flood routing dynamics in the Contok river basin, a sub-watershed with a challenging landscape characterized by steep slopes, dense vegetation, and meandering patterns. The objectives are to assess Unmanned Aerial Vehicle (UAV) mapping accuracy, evaluate the river's capacity for design flood volumes, quantify the impact of land cover changes on surface runoff, and provide insights for early warning systems and watershed conservation strategies. The study area, encompassing the Contok River Basin, a sub-watershed of the Garang Watershed, covers 7,413 km² and includes a stream length of 5,274 meters in Semarang City, Central Java, Indonesia. This…</t>
  </si>
  <si>
    <t>UAV kartiranje za usmjeravanje poplava (hidrologija)</t>
  </si>
  <si>
    <t>A deep 2D/3D Feature-Level fusion for classification of UAV multispectral imagery in urban areas</t>
  </si>
  <si>
    <t>Geocarto International</t>
  </si>
  <si>
    <t>Remote-Sensing Image Classification</t>
  </si>
  <si>
    <t>https://openalex.org/W3185991925</t>
  </si>
  <si>
    <t>https://doi.org/10.1080/10106049.2021.1959655</t>
  </si>
  <si>
    <t>In this paper, a deep convolutional neural network (CNN) is developed to classify the Unmanned Aerial Vehicle (UAV) derived multispectral imagery and normalized digital surface model (DSM) data in urban areas. For this purpose, a multi-input deep CNN (MIDCNN) architecture is designed using 11 parallel CNNs; 10 deep CNNs to extract the features from all possible triple combinations of spectral bands as well as one deep CNN dedicated to the normalized DSM data. The proposed method is compared with the traditional single-input (SI) and double-input (DI) deep CNN designations and random forest (RF) classifier, and evaluated using two independent test datasets. The results indicate that increasin…</t>
  </si>
  <si>
    <t>Urbana klasifikacija UAV multispektralnih snimaka</t>
  </si>
  <si>
    <t>Aerial imaging for early assessment of yield potential in maize</t>
  </si>
  <si>
    <t>Revista CERES</t>
  </si>
  <si>
    <t>https://openalex.org/W7162289624</t>
  </si>
  <si>
    <t>https://doi.org/10.71252/2177-34912025720038</t>
  </si>
  <si>
    <t>The use of unmanned aerial vehicles imagery has become an established practice in high-throughput phenotyping for predicting the yield potential of maize (Zea mays L.), although applying these technologies presents challenges due to regional specificities. This study aimed to assess the effectiveness of RGB (red, green, and blue) aerial imagery for the early identification of yield maize genotypes during the vegetative stage. Four genotypes were evaluated using a randomized block design with four replications. The experiment involved seven flights at two heights. Twenty-nine RGB vegetation indices were derived from image processing to discriminate genotypes based on plot-level grain yield. N…</t>
  </si>
  <si>
    <t>Prinos kukuruza</t>
  </si>
  <si>
    <t>Drones Used to Calibrate Equipment to Monitor Coastal Currents</t>
  </si>
  <si>
    <t>ODU Digital Commons (Old Dominion University)</t>
  </si>
  <si>
    <t>Coastal and Marine Dynamics</t>
  </si>
  <si>
    <t>https://openalex.org/W3109768354</t>
  </si>
  <si>
    <t>Dronovi za kalibraciju mjerenja obalnih struja</t>
  </si>
  <si>
    <t>Drone Observation for the Quantitative Study of Complex Multilevel Societies</t>
  </si>
  <si>
    <t>Animals</t>
  </si>
  <si>
    <t>https://openalex.org/W4380051706</t>
  </si>
  <si>
    <t>https://doi.org/10.3390/ani13121911</t>
  </si>
  <si>
    <t>Unmanned aerial vehicles (drones) have recently been used in various behavioral ecology studies. However, their application has been limited to single groups, and most studies have not implemented individual identification. A multilevel society refers to a social structure in which small stable "core units" gather and make a larger, multiple-unit group. Here, we introduce recent applications of drone technology and individual identification to complex social structures involving multiple groups, such as multilevel societies. Drones made it possible to obtain the identification, accurate positioning, or movement of more than a hundred individuals in a multilevel social group. In addition, in …</t>
  </si>
  <si>
    <t>Dronsko promatranje višerazinskih društava životinja</t>
  </si>
  <si>
    <t>Estimation of tomato water status with photochemical reflectance index and machine learning: Assessment from proximal sensors and UAV imagery</t>
  </si>
  <si>
    <t>Frontiers in Plant Science</t>
  </si>
  <si>
    <t>https://openalex.org/W4362671667</t>
  </si>
  <si>
    <t>https://doi.org/10.3389/fpls.2023.1057733</t>
  </si>
  <si>
    <t>Tracking plant water status is a critical step towards the adaptive precision irrigation management of processing tomatoes, one of the most important specialty crops in California. The photochemical reflectance index (PRI) from proximal sensors and the high-resolution unmanned aerial vehicle (UAV) imagery provide an opportunity to monitor the crop water status efficiently. Based on data from an experimental tomato field with intensive aerial and plant-based measurements, we developed random forest machine learning regression models to estimate tomato stem water potential (ψstem), (using observations from proximal sensors and 12-band UAV imagery, respectively, along with weather data. The pro…</t>
  </si>
  <si>
    <t>Rajčica, vodni status</t>
  </si>
  <si>
    <t>Development of the Artificial Intelligence and Optical Sensing Methods for Oil Pollution Monitoring of the Sea by Drones</t>
  </si>
  <si>
    <t>Oil Spill Detection and Mitigation</t>
  </si>
  <si>
    <t>https://openalex.org/W3154927784</t>
  </si>
  <si>
    <t>https://doi.org/10.3390/app11083642</t>
  </si>
  <si>
    <t>The oil pollution of seas is increasing, especially in local areas, such as ports, roadsteads of the vessels, and bunkering zones. Today, methods of monitoring seawater are costly and applicable only in the case of big ecology disasters. The development of an operative and reasonable project for monitoring the sea surface for oil slick detection is described in this article using drones equipped with optical sensing and artificial intelligence. The monitoring system is implemented in the form of separate hard and soft frameworks (HSFWs) that combine monitoring methods, hardware, and software. Three frameworks are combined to fulfill the entire monitoring mission. HSFW1 performs the function …</t>
  </si>
  <si>
    <t>Onečišćenje mora naftom, dronovi</t>
  </si>
  <si>
    <t>Integration of Multi-Sensor Data to Estimate Plot-Level Stem Volume Using Machine Learning Algorithms–Case Study of Evergreen Conifer Planted Forests in Japan</t>
  </si>
  <si>
    <t>https://openalex.org/W3027505569</t>
  </si>
  <si>
    <t>https://doi.org/10.3390/rs12101649</t>
  </si>
  <si>
    <t>The development of new methods for estimating precise forest structure parameters is essential for the quantitative evaluation of forest resources. Conventional use of satellite image data, increasing use of terrestrial laser scanning (TLS), and emerging trends in the use of unmanned aerial systems (UASs) highlight the importance of modern technologies in the realm of forest observation. Each technology has different advantages, and this work seeks to incorporate multiple satellite, TLS- and UAS-based remote sensing data sets to improve the ability to estimate forest structure parameters. In this paper, two regression analysis approaches are considered for the estimation: random forest regre…</t>
  </si>
  <si>
    <t>Volumen sastojine, UAS</t>
  </si>
  <si>
    <t>Potential of Drones for Avian Ecological Monitoring in West African Mangrove Ecosystems</t>
  </si>
  <si>
    <t>Open Journal of Ecology</t>
  </si>
  <si>
    <t>https://openalex.org/W4409705460</t>
  </si>
  <si>
    <t>https://doi.org/10.4236/oje.2025.154020</t>
  </si>
  <si>
    <t>Bouche du Roy, a community mangrove ecosystem in the RAMSAR 1017 site in Benin, is important for bird conservation. However, it faces many anthropogenic threats. Conservation efforts have been made since its inception, but managers face major constraints. Ecological monitoring is costly and material resources are constantly in short supply, making repeated operations difficult. Recently, drone technology has emerged as an effective tool for wildlife monitoring, particularly in inaccessible areas. The aim of this study was to assess the potential of drones for ecological monitoring of avian biodiversity in the mangrove ecosystems of the Bouche du Roy in Benin. In order to maximize the chances…</t>
  </si>
  <si>
    <t>Ptice u mangrovama, dronovi</t>
  </si>
  <si>
    <t>Method for NIR Reflectance Estimation with Visible Camera Data based on Regression for NDVI Estimation and its Application for Insect Damage Detection of Rice Paddy Fields</t>
  </si>
  <si>
    <t>INTERNATIONAL JOURNAL OF ADVANCED RESEARCH IN ARTIFICIAL INTELLIGENCE</t>
  </si>
  <si>
    <t>https://openalex.org/W2567061793</t>
  </si>
  <si>
    <t>https://doi.org/10.14569/ijarai.2016.051103</t>
  </si>
  <si>
    <t>Method for Near Infrared: NIR reflectance estimation with visible camera data based on regression for Normalized Vegetation Index: NDVI estimation is proposed together with its application for insect damage detection of rice paddy fields. Through experiments at rice paddy fields which is situated at Saga Prefectural Agriculture Research Institute SPARI in Saga city, Kyushu, Japan, it is found that there is high correlation between NIR reflectance and Green color reflectance. Therefore, it is possible to estimate NIR reflectance with visible camera data which results in possibility of estimation of NDVI with drone mounted visible camera data. As is well known that the protein content in rice …</t>
  </si>
  <si>
    <t>NDVI riže, dron s kamerom</t>
  </si>
  <si>
    <t>Drone imagery forest fire detection and classification using modified deep learning model</t>
  </si>
  <si>
    <t>Thermal Science</t>
  </si>
  <si>
    <t>https://openalex.org/W4317422903</t>
  </si>
  <si>
    <t>https://doi.org/10.2298/tsci22s1411m</t>
  </si>
  <si>
    <t>drone, drones, uav, unmanned aerial</t>
  </si>
  <si>
    <t>With the progression of information technologies, unmanned aerial vehicles (UAV) or drones are more significant in remote monitoring the environment. One main application of UAV technology relevant to nature monitoring is monitoring wild animals. Among several natural disasters, Wildfires are one of the deadliest and cause damage to millions of hectares of forest lands or resources which threatens the lives of animals and people. Drones present novel features and convenience which include rapid deployment, adjustable and wider viewpoints, less human intervention, and high maneuverability. With the effective enforcement of deep learning in many applications, it is used in the domain of forest…</t>
  </si>
  <si>
    <t>Detekcija šumskih požara dronskim snimkama</t>
  </si>
  <si>
    <t>Unlocking Hyper-Resolution Dynamics: Multi-GNSS Aided UAV-LiDAR for Earth Surface Evolution</t>
  </si>
  <si>
    <t>3D Surveying and Cultural Heritage</t>
  </si>
  <si>
    <t>https://openalex.org/W7107866176</t>
  </si>
  <si>
    <t>https://doi.org/10.5281/zenodo.17729806</t>
  </si>
  <si>
    <t>The Earth's surface is a dynamic interface, constantly evolving under the influence of natural processes and anthropogenic activities. Monitoring these changes with high spatial and temporal resolution is crucial for understanding geomorphological processes, assessing hazards, and managing natural resources. Traditional surveying methods often lack the spatial density and efficiency required to capture the complex, hyper-resolution dynamics inherent in many geomorphic phenomena. Unmanned Aerial Vehicle (UAV) borne Light Detection and Ranging (LiDAR) has emerged as a transformative technology, offering unprecedented detail in topographic mapping. However, the absolute accuracy of UAV-LiDAR sy…</t>
  </si>
  <si>
    <t>UAV LiDAR za geomorfološke promjene</t>
  </si>
  <si>
    <t>AI-based Precision Enhancement for Change Detection in Drone/UAV Videos</t>
  </si>
  <si>
    <t>International Journal for Research in Applied Science and Engineering Technology</t>
  </si>
  <si>
    <t>https://openalex.org/W4399540446</t>
  </si>
  <si>
    <t>https://doi.org/10.22214/ijraset.2024.63189</t>
  </si>
  <si>
    <t>drone, uav</t>
  </si>
  <si>
    <t>The rapid advancement in drone/UAV technology has led to their extensive use in various domains including surveillance, agriculture, and environmental monitoring. Change detection in UAV videos is crucial for identifying significant alterations in the observed areas. However, challenges such as varying scales, resolutions, and orientations of video frames pose significant hurdles. This paper addresses these challenges by leveraging the SIFT algorithm for panoramic stitching and change detection, followed by the application of the YOLOv8 model for high-precision anomaly detection</t>
  </si>
  <si>
    <t>Detekcija promjena u UAV videu (generičko)</t>
  </si>
  <si>
    <t>(bez naslova)</t>
  </si>
  <si>
    <t>KTH Publication Database DiVA (KTH Royal Institute of Technology)</t>
  </si>
  <si>
    <t>Robotic Path Planning Algorithms</t>
  </si>
  <si>
    <t>https://openalex.org/W3201403862</t>
  </si>
  <si>
    <t>https://doi.org/10.3390/electronics10182218</t>
  </si>
  <si>
    <t>drones, unmanned aerial</t>
  </si>
  <si>
    <t>Unmanned aerial vehicles or drones are becoming one of the key machines/tools of the modern world, particularly in military applications. Numerous research works are underway to explore the possibility of using these machines in other applications such as parcel delivery, construction work, hurricane hunting, 3D mapping, protecting wildlife, agricultural activities, search and rescue, etc. Since these machines are unmanned vehicles, their functionality is completely dependent upon the performance of their control system. This paper presents a comprehensive approach for dynamic modeling, control system design, simulation and optimization of a quadcopter. The main objective is to study the beh…</t>
  </si>
  <si>
    <t>Generički pregled dronova (vojne primjene)</t>
  </si>
  <si>
    <t>EVALUATING A CONVOLUTIONAL NEURAL NETWORK FOR FEATURE EXTRACTION AND TREE SPECIES CLASSIFICATION USING UAV-HYPERSPECTRAL IMAGES</t>
  </si>
  <si>
    <t>ISPRS annals of the photogrammetry, remote sensing and spatial information sciences</t>
  </si>
  <si>
    <t>https://openalex.org/W3047190055</t>
  </si>
  <si>
    <t>https://doi.org/10.5194/isprs-annals-v-3-2020-193-2020</t>
  </si>
  <si>
    <t>Abstract. The classification of tree species can significantly benefit from high spatial and spectral information acquired by unmanned aerial vehicles (UAVs) associated with advanced feature extraction and classification methods. Different from the traditional feature extraction methods, that highly depend on user’s knowledge, the convolutional neural network (CNN)-based method can automatically learn and extract the spatial-related features layer by layer. However, in order to capture significant features of the data, the CNN classifier requires a large number of training samples, which are hardly available when dealing with tree species in tropical forests. This study investigated the foll…</t>
  </si>
  <si>
    <t>Klasifikacija vrsta drveća, UAV hiperspektralno</t>
  </si>
  <si>
    <t>A cooperative scheme for late leaf spot estimation in peanut using UAV multispectral images</t>
  </si>
  <si>
    <t>PLoS ONE</t>
  </si>
  <si>
    <t>https://openalex.org/W4360997749</t>
  </si>
  <si>
    <t>https://doi.org/10.1371/journal.pone.0282486</t>
  </si>
  <si>
    <t>In Australia, peanuts are mainly grown in Queensland with tropical and subtropical climates. The most common foliar disease that poses a severe threat to quality peanut production is late leaf spot (LLS). Unmanned aerial vehicles (UAVs) have been widely investigated for various plant trait estimations. The existing works on UAV-based remote sensing have achieved promising results for crop disease estimation using a mean or a threshold value to represent the plot-level image data, but these methods might be insufficient to capture the distribution of pixels within a plot. This study proposes two new methods, namely measurement index (MI) and coefficient of variation (CV), for LLS disease esti…</t>
  </si>
  <si>
    <t>Bolest kikirikija</t>
  </si>
  <si>
    <t>Predicting Forage Quality of Grasslands Using UAV-Borne Imaging Spectroscopy</t>
  </si>
  <si>
    <t>https://openalex.org/W2998236111</t>
  </si>
  <si>
    <t>https://doi.org/10.3390/rs12010126</t>
  </si>
  <si>
    <t>The timely knowledge of forage quality of grasslands is vital for matching the demands in animal feeding. Remote sensing (RS) is a promising tool for estimating field-scale forage quality compared with traditional methods, which usually do not provide equally detailed information. However, the applicability of RS prediction models depends on the variability of the underlying calibration data, which can be brought about by the inclusion of a multitude of grassland types and management practices in the model development. Major aims of this study were (i) to build forage quality estimation models for multiple grassland types based on an unmanned aerial vehicle (UAV)-borne imaging spectroscopy a…</t>
  </si>
  <si>
    <t>Kakvoća krme travnjaka (poljoprivreda)</t>
  </si>
  <si>
    <t>An Automated Hierarchical Approach for Three-Dimensional Segmentation of Single Trees Using UAV LiDAR Data</t>
  </si>
  <si>
    <t>https://openalex.org/W2905402823</t>
  </si>
  <si>
    <t>https://doi.org/10.3390/rs10121999</t>
  </si>
  <si>
    <t>Forests play a key role in terrestrial ecosystems, and the variables extracted from single trees can be used in various fields and applications for evaluating forest production and assessing forest ecosystem services. In this study, we developed an automated hierarchical single-tree segmentation approach based on the high density three-dimensional (3D) Unmanned Aerial Vehicle (UAV) point clouds. First, this approach obtains normalized non-ground UAV points in data preprocessing; then, a voxel-based mean shift algorithm is used to roughly classify the non-ground UAV points into well-detected and under-segmentation clusters. Moreover, potential tree apices for each under-segmentation cluster a…</t>
  </si>
  <si>
    <t>Segmentacija stabala UAV LiDAR, ekosustavne usluge šuma</t>
  </si>
  <si>
    <t>Exploring UAV narrow-band hyperspectral indices and crop functional traits derived from radiative transfer models to detect wheat powdery mildew</t>
  </si>
  <si>
    <t>International Journal of Applied Earth Observation and Geoinformation</t>
  </si>
  <si>
    <t>https://openalex.org/W4410814464</t>
  </si>
  <si>
    <t>https://doi.org/10.1016/j.jag.2025.104627</t>
  </si>
  <si>
    <t>The wheat powdery mildew (WPM) is one of the most severe crop diseases worldwide, affecting wheat growth and causing yield losses. The WPM was a bottom-up disease that caused the loss of cell integrity, leaf wilting, and canopy structure damage with these symptoms altering the crop’s functional traits (CFT) and canopy spectra. The unmanned aerial vehicle (UAV)-based hyperspectral analysis became a mainstream method for WPM detection. However, the CFT changes experienced by infected wheats, the relationship between CFT and canopy spectra, and their role in WPM detection remained unclear, which might blur the understanding for the WPM infection. Therefore, this study aimed to propose a new met…</t>
  </si>
  <si>
    <t>Pepelnica pšenice</t>
  </si>
  <si>
    <t>Crop Separability from Individual and Combined Airborne Imaging Spectroscopy and UAV Multispectral Data</t>
  </si>
  <si>
    <t>https://openalex.org/W3017100647</t>
  </si>
  <si>
    <t>https://doi.org/10.3390/rs12081256</t>
  </si>
  <si>
    <t>Crop species separation is essential for a wide range of agricultural applications—in particular, when seasonal information is needed. In general, remote sensing can provide such information with high accuracy, but in small structured agricultural areas, very high spatial resolution data (VHR) are required. We present a study involving spectral and textural features derived from near-infrared (NIR) Red Green Blue (NIR-RGB) band datasets, acquired using an unmanned aerial vehicle (UAV), and an imaging spectroscopy (IS) dataset acquired by the Airborne Prism EXperiment (APEX). Both the single usage and combination of these datasets were analyzed using a random forest-based method for crop sepa…</t>
  </si>
  <si>
    <t>Razdvajanje usjeva</t>
  </si>
  <si>
    <t>UAV operated Hyperspectral Imager for forest and agriculture applications</t>
  </si>
  <si>
    <t>Infrared Target Detection Methodologies</t>
  </si>
  <si>
    <t>https://openalex.org/W2970191788</t>
  </si>
  <si>
    <t>Hiperspektralni senzor za šume i poljoprivredu (instrument)</t>
  </si>
  <si>
    <t>Flooding scenarios due to land subsidence and sea‐level rise: a case study for Lipari Island (Italy)</t>
  </si>
  <si>
    <t>Terra Nova</t>
  </si>
  <si>
    <t>Maritime and Coastal Archaeology</t>
  </si>
  <si>
    <t>https://openalex.org/W2552574646</t>
  </si>
  <si>
    <t>https://doi.org/10.1111/ter.12246</t>
  </si>
  <si>
    <t>Abstract Archaeological and instrumental data indicate that the southern sector of the volcanic island of Lipari has been subsiding for the last 2100 years due to isostatic and tectonic factors, at variable rates of up to ~11 mm a−1. Based on this data, a detailed marine flooding scenario for 2100 AD is provided for the bay of Marina Lunga in the eastern part of the island from (1) an ultra‐high‐resolution Digital Terrain and Marine Model (DTMM) generated from multibeam bathymetry (MB) and Unmanned Aerial Vehicles (UAV), (2) the rate of land subsidence from Global Positioning System (GPS) data and (3) the regional sea‐level projections of the International Panel on Climate Change (IPCC). Whe…</t>
  </si>
  <si>
    <t>Scenariji poplavljivanja otoka, UAV DTM</t>
  </si>
  <si>
    <t>UAV and Ground Image-Based Phenotyping: A Proof of Concept with Durum Wheat</t>
  </si>
  <si>
    <t>https://openalex.org/W2947572107</t>
  </si>
  <si>
    <t>https://doi.org/10.3390/rs11101244</t>
  </si>
  <si>
    <t>Climate change is one of the primary culprits behind the restraint in the increase of cereal crop yields. In order to address its effects, effort has been focused on understanding the interaction between genotypic performance and the environment. Recent advances in unmanned aerial vehicles (UAV) have enabled the assembly of imaging sensors into precision aerial phenotyping platforms, so that a large number of plots can be screened effectively and rapidly. However, ground evaluations may still be an alternative in terms of cost and resolution. We compared the performance of red–green–blue (RGB), multispectral, and thermal data of individual plots captured from the ground and taken from a UAV,…</t>
  </si>
  <si>
    <t>Fenotipizacija durum pšenice</t>
  </si>
  <si>
    <t>Pemanfaatan Peta Foto Tegak Sebagai Peta Dasar Untuk Evaluasi Pelaksanaan Rencana Tata Ruang</t>
  </si>
  <si>
    <t>Urban and Regional Studies Journal</t>
  </si>
  <si>
    <t>3D Modeling in Geospatial Applications</t>
  </si>
  <si>
    <t>https://openalex.org/W4406398766</t>
  </si>
  <si>
    <t>https://doi.org/10.35965/ursj.v7i1.5272</t>
  </si>
  <si>
    <t>Tujuan dari penelitian ini adalah melakukan evaluasi Rencana Tata Ruang (RTR) pada potensi adanya ketidaksesuaian pola ruang terhadap existing keadaan di lapangan, sehingga lokasi penelitian yang dipilih terletak pada daerah yang memiliki kemungkinan terdapat pembangunan yang signifikan untuk mendeteksi kecocokan pemanfaatan ruang dan di wilayah yang relative sama atau sedikit pembangunan untuk evaluasi penyusunan pemanfaatan tanah sesuai pola ruang. Penelitian dilakukan di 2 wilayah administrasi Kelurahan/Desa yang keduanya berada di Kecamatan Barru, Kabupaten Barru. Area pertama adalah Kelurah Coppo yang berada di Kecamatan Barru Kabuopaten Barru. Hasil dari Penelitian ini menunjukan bahwa…</t>
  </si>
  <si>
    <t>Prostorno planiranje (Indonezija)</t>
  </si>
  <si>
    <t>Geovisualization of the Excavation Process in the Lesvos Petrified Forest, Greece Using Augmented Reality</t>
  </si>
  <si>
    <t>ISPRS International Journal of Geo-Information</t>
  </si>
  <si>
    <t>https://openalex.org/W3033669335</t>
  </si>
  <si>
    <t>https://doi.org/10.3390/ijgi9060374</t>
  </si>
  <si>
    <t>Augmented reality (AR), in conjunction with 3D geovisualization methods, can provide significant support in monitoring geoconservation activities in protected geosites, such as the excavation process in fossil sites. The excavation process requires a monitoring methodology that will provide a complete and accurate overview of the fossils, their dimensions, and location within the different pyroclastic horizons, and the progress of the excavation works. The main purpose of this paper is the development of a user-friendly augmented map application, specifically designed for tracking the position of petrified tree trunks, providing information for their geometric features, and mapping the spati…</t>
  </si>
  <si>
    <t>Geokonzervacija iskopa, UAS za snimanje</t>
  </si>
  <si>
    <t>A hybrid search and model-based approach for testing the self-adaptive unmanned aircraft system software</t>
  </si>
  <si>
    <t>Computer Standards &amp; Interfaces</t>
  </si>
  <si>
    <t>Software Testing and Debugging Techniques</t>
  </si>
  <si>
    <t>https://openalex.org/W4405220677</t>
  </si>
  <si>
    <t>https://doi.org/10.1016/j.csi.2024.103959</t>
  </si>
  <si>
    <t>unmanned aircraft</t>
  </si>
  <si>
    <t>Testiranje softvera UAS-a</t>
  </si>
  <si>
    <t>Individual tree detection and segmentation from unmanned aerial vehicle-LiDAR data based on a trunk point distribution indicator</t>
  </si>
  <si>
    <t>https://openalex.org/W4391714923</t>
  </si>
  <si>
    <t>https://doi.org/10.1016/j.compag.2024.108717</t>
  </si>
  <si>
    <t>Detekcija pojedinačnih stabala UAV LiDAR</t>
  </si>
  <si>
    <t>Validation of Rapid and Low-Cost Approach for the Delineation of Zone Management Based on Machine Learning Algorithms</t>
  </si>
  <si>
    <t>Agronomy</t>
  </si>
  <si>
    <t>Soil Geostatistics and Mapping</t>
  </si>
  <si>
    <t>https://openalex.org/W4206468308</t>
  </si>
  <si>
    <t>https://doi.org/10.3390/agronomy12010183</t>
  </si>
  <si>
    <t>Proximal soil sensors are receiving strong attention from several disciplinary fields, and this has led to a rise in their availability in the market in the last two decades. The aim of this work was to validate agronomically a zone management delineation procedure from electromagnetic induction (EMI) maps applied to two different rainfed durum wheat fields. The k-means algorithm was applied based on the gap statistic index for the identification of the optimal number of management zones and their positions. Traditional statistical analysis was performed to detect significant differences in soil characteristics and crop response of each management zones. The procedure showed the presence of …</t>
  </si>
  <si>
    <t>Zone upravljanja tlom, pšenica</t>
  </si>
  <si>
    <t>Neural Radiation Fields in a Tidal Flat Environment</t>
  </si>
  <si>
    <t>Computer Graphics and Visualization Techniques</t>
  </si>
  <si>
    <t>https://openalex.org/W4387234632</t>
  </si>
  <si>
    <t>https://doi.org/10.3390/app131910848</t>
  </si>
  <si>
    <t>Tidal flats are critical ecosystems, playing a vital role in biodiversity conservation and ecological balance. Collecting tidal flat environmental information using unmanned aerial vehicles (UAVs) and subsequently utilizing 3D reconstruction techniques for their detection and protection holds significance in providing comprehensive and detailed tidal flat information, including terrain, slope, and other parameters. It also enables scientific decision-making for the preservation of tidal flat ecosystems and the monitoring of factors such as rising sea levels. Moreover, the latest advancements in neural radiance fields (Nerf) have provided valuable insights and novel perspectives for our work.…</t>
  </si>
  <si>
    <t>Plimne ravnice, UAV 3D rekonstrukcija</t>
  </si>
  <si>
    <t>Environmental Monitoring System by Using Unmanned Aerial Vehicle</t>
  </si>
  <si>
    <t>Network Protocols and Algorithms</t>
  </si>
  <si>
    <t>Water Quality Monitoring Technologies</t>
  </si>
  <si>
    <t>https://openalex.org/W2791679594</t>
  </si>
  <si>
    <t>https://doi.org/10.5296/npa.v9i3-4.12021</t>
  </si>
  <si>
    <t>This paper presents a reliable and low cost environmental monitoring system. The system uses an Unmanned Ariel Vehicle (UAV) equipped with a set of sensors, microcontroller, wireless system, and other accessories. The system consists of two systems namely air quality monitoring system and water quality monitoring system. The air quality monitoring system consists of a set of gas sensors and microcontroller. This system measures the concentration of greenhouse gases at different altitudes under different environmental conditions. On the other hand, the water quality monitoring system consists of a set of water quality sensors, microcontroller, and water sampling unit. This system collects wat…</t>
  </si>
  <si>
    <t>UAV sustav za praćenje zraka i vode</t>
  </si>
  <si>
    <t>UAV Inventory of the Last Remaining Dragon Tree Forest on Earth</t>
  </si>
  <si>
    <t>Pharmacological Effects of Medicinal Plants</t>
  </si>
  <si>
    <t>https://openalex.org/W4363647848</t>
  </si>
  <si>
    <t>https://doi.org/10.3390/f14040766</t>
  </si>
  <si>
    <t>drone, drones, uav, uavs, unmanned aerial</t>
  </si>
  <si>
    <t>The last remaining Dragon Tree Forest on Earth survives on a small plateau (Roqeb di Firmihin) in Socotra Island (Yemen). The Socotran Dragon’s Blood Tree (Dracaena cinnabari Balf. f.) is endemic to the Socotra Archipelago UNESCO World Heritage Site. Being a culturally important and endangered tree species, its conservation is a priority. Despite this, a complete inventory of the Firmihin Dracaena forest (14.9 km2) has never been attempted before. We applied the use of unmanned aerial vehicles (UAVs) for the first time in conserving the Socotran Dragon’s Blood Tree. A pair of UAVs (small drones) were used during field surveys in 2021 to spatially describe individual tree positions, tree dens…</t>
  </si>
  <si>
    <t>Inventura šume zmajeva stabla</t>
  </si>
  <si>
    <t>Development of a Seafloor Litter Database and Application of Image Preprocessing Techniques for UAV-Based Detection of Seafloor Objects</t>
  </si>
  <si>
    <t>Electronics</t>
  </si>
  <si>
    <t>Underwater Acoustics Research</t>
  </si>
  <si>
    <t>https://openalex.org/W4402279098</t>
  </si>
  <si>
    <t>https://doi.org/10.3390/electronics13173524</t>
  </si>
  <si>
    <t>Marine litter poses a significant global threat to marine ecosystems, primarily driven by poor waste management, inadequate infrastructure, and irresponsible human activities. This research investigates the application of image preprocessing techniques and deep learning algorithms for the detection of seafloor objects, specifically marine debris, using unmanned aerial vehicles (UAVs). The primary objective is to develop non-invasive methods for detecting marine litter to mitigate environmental impacts and support the health of marine ecosystems. Data was collected remotely via UAVs, resulting in a novel database of over 5000 images and 12,000 objects categorized into 31 classes, with metadat…</t>
  </si>
  <si>
    <t>Morski otpad, UAV detekcija</t>
  </si>
  <si>
    <t>Measurement of near-coastal wind field characteristics based on UAV</t>
  </si>
  <si>
    <t>Measurement</t>
  </si>
  <si>
    <t>Aerospace Engineering and Energy Systems</t>
  </si>
  <si>
    <t>https://openalex.org/W4386625229</t>
  </si>
  <si>
    <t>https://doi.org/10.1016/j.measurement.2023.113550</t>
  </si>
  <si>
    <t>Obalno polje vjetra mjereno UAV-om (meteorologija)</t>
  </si>
  <si>
    <t>Application of UAV-based 3D modeling and visualization technology in urban planning</t>
  </si>
  <si>
    <t>Advances in Engineering Technology Research</t>
  </si>
  <si>
    <t>Simulation and Modeling Applications</t>
  </si>
  <si>
    <t>https://openalex.org/W4405730041</t>
  </si>
  <si>
    <t>https://doi.org/10.56028/aetr.12.1.912.2024</t>
  </si>
  <si>
    <t>uav, uavs</t>
  </si>
  <si>
    <t>With the acceleration of urbanization, urban planning is increasingly demanding for data accuracy and visualization capability. UAV-based 3D modeling and visualization technology provides an efficient and accurate solution for urban planning. UAVs collect geographic and architectural information by carrying a variety of sensors to generate high-resolution images and point cloud data, which are further used to construct accurate 3D city models and enhance the realism of the models through texture mapping and optimization. Based on these models, 3D visualization technology provides urban planners with an intuitive means of spatial analysis and dynamic monitoring, and enhances the efficiency of…</t>
  </si>
  <si>
    <t>Urbanističko planiranje 3D</t>
  </si>
  <si>
    <t>Towards reducing chemical usage for weed control in agriculture using UAS imagery analysis and computer vision techniques</t>
  </si>
  <si>
    <t>Scientific Reports</t>
  </si>
  <si>
    <t>https://openalex.org/W4366742466</t>
  </si>
  <si>
    <t>https://doi.org/10.1038/s41598-023-33042-0</t>
  </si>
  <si>
    <t>Currently, applying uniform distribution of chemical herbicide through a sprayer without considering the spatial distribution information of crops and weeds is the most common method of controlling weeds in commercial agricultural production system. This kind of weed management practice lead to excessive amounts of chemical herbicides being applied in a given field. The objective of this study was to perform site-specific weed control (SSWC) in a corn field by: (1) using a unmanned aerial system (UAS) to map the spatial distribution information of weeds in the field; (2) creating a prescription map based on the weed distribution map, and (3) spraying the field using the prescription map and …</t>
  </si>
  <si>
    <t>Suzbijanje korova UAS</t>
  </si>
  <si>
    <t>Veillance in Verax and Āyālw ( Ialu ): Two countries, one concern</t>
  </si>
  <si>
    <t>Journal of Graphic Novels &amp; Comics</t>
  </si>
  <si>
    <t>Jewish and Middle Eastern Studies</t>
  </si>
  <si>
    <t>https://openalex.org/W2972195133</t>
  </si>
  <si>
    <t>https://doi.org/10.1080/21504857.2019.1656092</t>
  </si>
  <si>
    <t>Noha F. Abdelmotagally* Department of English, Faculty of Al-Alsun (Languages), Ain Shams University, Cairo, EgyptNoha F. Abdelmotagally is associate professor of English Language and Literature in the Faculty of Al-Alsun (Languages), Ain Shams University. She has participated in various conferences and research projects both home and abroad. Her teaching areas are Research Methodology, Contemporary Prose, Nineteenth Century Literature, Modernist Literature and Life Narratives at both under and postgraduate levels. Her research and publication interests include comparative and interdisciplinary studies, feminism, ecology, sociology, and psychology. She has published articles on writing by wo…</t>
  </si>
  <si>
    <t>Književna studija (drone warfare)</t>
  </si>
  <si>
    <t>The use of secondary resource potential of pharmaceutical waste from glass in the pr duction of ceramic tiles</t>
  </si>
  <si>
    <t>Bulletin of the National Technical University «KhPI» Series New solutions in modern technologies</t>
  </si>
  <si>
    <t>Medical and Pharmaceutic Studies</t>
  </si>
  <si>
    <t>https://openalex.org/W2898890266</t>
  </si>
  <si>
    <t>https://doi.org/10.20998/2413-4295.2018.26.38</t>
  </si>
  <si>
    <t>The article describes ecological aspects of pharmaceutical glass wastes. It is determined that the greatest negative impact on the environment components has wastes containing pharmaceutical residue. It was analyzed that pharmaceutical glass wastes mainly consist of used ampoules (UAs).The ecological necessity of taking away and disposing residues of pharmaceutical substances from UAs by their disposal is determined. The resource possibilities of using UAs as the secondary material in production of ceramic tiles is analyzed. Monitoring of the formation and accumulation of a mixture of ampoules in the therapeutic hospital department was carried out. The mixture consisted of ampoules containin…</t>
  </si>
  <si>
    <t>„UAs“ = used ampoules</t>
  </si>
  <si>
    <r>
      <rPr>
        <sz val="10"/>
        <rFont val="Arial"/>
        <charset val="1"/>
      </rPr>
      <t>ICT</t>
    </r>
    <r>
      <rPr>
        <sz val="10"/>
        <rFont val="Noto Sans CJK SC"/>
        <family val="2"/>
      </rPr>
      <t>を活用した野生鳥獣の生態調査技術の開発</t>
    </r>
  </si>
  <si>
    <t>Institutional Repositories DataBase (IRDB)</t>
  </si>
  <si>
    <t>Financial Crisis of the 21st Century</t>
  </si>
  <si>
    <t>https://openalex.org/W7144515362</t>
  </si>
  <si>
    <t>Recently, research on solving regional problems through industry-academia-government collaboration has been\npromoted in Sanyo-Onoda city area. As part of this research, through a proposal from Mr. Nakamura of West Japan Jibie Farm, a study on "Countermeasures against wildlife damage using drones and ICT," was started from April 2020. Thetemporal goal of the research was defined to be "ecological survey of wild boars utilizing ICT", i.e. (1) survey of traces ofwild boar inhabitation by actually exploring the mountain area, (2) the development of remote observation technology of wild boars at Wallows and Beast Roads discovered by reconnaissance, and (3) the development of infrared photography…</t>
  </si>
  <si>
    <t>Ekološki popis divljih svinja dronovima</t>
  </si>
  <si>
    <t>Enhanced Estimation of Rice Leaf Nitrogen Content via the Integration of Hybrid Preferred Features and Deep Learning Methodologies</t>
  </si>
  <si>
    <t>https://openalex.org/W4399494733</t>
  </si>
  <si>
    <t>https://doi.org/10.3390/agronomy14061248</t>
  </si>
  <si>
    <t>Efficiently obtaining leaf nitrogen content (LNC) in rice to monitor the nutritional health status is crucial in achieving precision fertilization on demand. Unmanned aerial vehicle (UAV)-based hyperspectral technology is an important tool for determining LNC. However, the intricate coupling between spectral information and nitrogen remains elusive. To address this, this study proposed an estimation method for LNC that integrates hybrid preferred features with deep learning modeling algorithms based on UAV hyperspectral imagery. The proposed approach leverages XGBoost, Pearson correlation coefficient (PCC), and a synergistic combination of both to identify the characteristic variables for LN…</t>
  </si>
  <si>
    <t>Dušik u riži, UAV hiperspektralno</t>
  </si>
  <si>
    <t>Uzorak B: 50 slučajnih zapisa, 2005.–2015. (seed 20260827)</t>
  </si>
  <si>
    <t>Szendro - type Integrated Vegetation Fire Management--Wildfire Management Program from Hungary</t>
  </si>
  <si>
    <t>Fire effects on ecosystems</t>
  </si>
  <si>
    <t>https://openalex.org/W1902224079</t>
  </si>
  <si>
    <t>Szendrő Fire Department is located in the northeastern part of Hungary. The main task is to fight against wildfire and mitigate the impact of fire at the Aggtelek National Park -- which belongs to the UNESCO World Heritage list. Because of greater effectiveness, in 2004 the Fire Department started a project named Integrated Vegetation Fire Management (IVFM). The IVFM consist of two main parts: Peripheries and Modules. The land use planning, finance, public relations, education, media connections, protective equipment belongs to Peripheries. The Modules are: Tower based environment monitoring and fire detection system, Mobile command control unit and Static and dynamic decision support system…</t>
  </si>
  <si>
    <t>Upravljanje požarima, UAV izviđanje</t>
  </si>
  <si>
    <t>A Probabilistic Gas Patch Path Prediction Approach for Airborne Gas Source Localization in Non-Uniform Wind Fields</t>
  </si>
  <si>
    <t>Sensor Letters</t>
  </si>
  <si>
    <t>Insect Pheromone Research and Control</t>
  </si>
  <si>
    <t>https://openalex.org/W1986490556</t>
  </si>
  <si>
    <t>https://doi.org/10.1166/sl.2014.3168</t>
  </si>
  <si>
    <t>filter In this paper, we show that a micro unmanned aerial vehicle (UAV) equipped with commercially available gas sensors can address environmental monitoring and gas source localization (GSL) tasks. To account for the challenges of gas sensing under real-world conditions, we present a probabilistic approach for GSL that is based on a particle filter (PF). Simulation and real-world experiments demonstrate the suitability of this algorithm for micro UAV platforms.</t>
  </si>
  <si>
    <t>Lokalizacija izvora plina mikro-UAV-om (okolišni monitoring)</t>
  </si>
  <si>
    <t>Approaching birds with drones: first experiments and ethical guidelines</t>
  </si>
  <si>
    <t>Biology Letters</t>
  </si>
  <si>
    <t>Wildlife-Road Interactions and Conservation</t>
  </si>
  <si>
    <t>https://openalex.org/W2111664716</t>
  </si>
  <si>
    <t>https://doi.org/10.1098/rsbl.2014.0754</t>
  </si>
  <si>
    <t>Unmanned aerial vehicles, commonly called drones, are being increasingly used in ecological research, in particular to approach sensitive wildlife in inaccessible areas. Impact studies leading to recommendations for best practices are urgently needed. We tested the impact of drone colour, speed and flight angle on the behavioural responses of mallards Anas platyrhynchos in a semi-captive situation, and of wild flamingos (Phoenicopterus roseus) and common greenshanks (Tringa nebularia) in a wetland area. We performed 204 approach flights with a quadricopter drone, and during 80% of those we could approach unaffected birds to within 4 m. Approach speed, drone colour and repeated flights had no…</t>
  </si>
  <si>
    <t>Prilaz pticama dronovima, etičke smjernice</t>
  </si>
  <si>
    <t>Ecological Benefits Evaluation in Ecological Migration Zone Based on Ecological Green Equivalent: A Case Study of Migration Zone in Yanchi County</t>
  </si>
  <si>
    <t>亚洲农业研究：英文版</t>
  </si>
  <si>
    <t>https://openalex.org/W3142025330</t>
  </si>
  <si>
    <t>With four ecological migration zones in Huamachi Town of Yanchi County in Ningxia Autonomous Region as the object of study,we carry out the evaluation of ecological benefits in ecological migration zone. Using the SPOT satellite remote sensing image in 2008 and UAV aerophotographic image in 2013,we first monitor and analyze the land use change over five years in the study area,and then adopt ecological green equivalent evaluation model for the evaluation of ecological benefits in the ecological migration zone. Studies have shown that:( i) from 2008 to 2013,the ecological green equivalent in the study area was increased and the ecological environment was improved;( ii) the ecological green eq…</t>
  </si>
  <si>
    <t>Promjena uporabe zemljišta, UAV snimke</t>
  </si>
  <si>
    <t>Feature identification from commercial satellite images for military and homeland security operations in coastal zones</t>
  </si>
  <si>
    <t>https://openalex.org/W2121895676</t>
  </si>
  <si>
    <t>https://doi.org/10.1117/1.2722339</t>
  </si>
  <si>
    <t>Supporting U.S. military operations and homeland security requirements in and around coastal zones, geospatial intelligence must be quickly integrated by tactical commanders to meet mission demands. Increasingly, unclassified commercial imagery and data acquired from conventional aircraft, unmanned aerial vehicles and satellites are being used by military and civilian analysts to populate coastal zone databases. This study assessed the suitability of commercially available satellite images for littoral warfare and homeland security operations. From the study, data that show the probabilities for extracting mandatory shoreline features from various images for maps produced at varying scale is…</t>
  </si>
  <si>
    <t>Vojne/sigurnosne primjene snimaka</t>
  </si>
  <si>
    <t>Configuration and Specifications of an Unmanned Aerial Vehicle (UAV) for Early Site Specific Weed Management</t>
  </si>
  <si>
    <t>https://openalex.org/W2011270889</t>
  </si>
  <si>
    <t>https://doi.org/10.1371/journal.pone.0058210</t>
  </si>
  <si>
    <t>A new aerial platform has risen recently for image acquisition, the Unmanned Aerial Vehicle (UAV). This article describes the technical specifications and configuration of a UAV used to capture remote images for early season site- specific weed management (ESSWM). Image spatial and spectral properties required for weed seedling discrimination were also evaluated. Two different sensors, a still visible camera and a six-band multispectral camera, and three flight altitudes (30, 60 and 100 m) were tested over a naturally infested sunflower field. The main phases of the UAV workflow were the following: 1) mission planning, 2) UAV flight and image acquisition, and 3) image pre-processing. Three d…</t>
  </si>
  <si>
    <t>Rano suzbijanje korova</t>
  </si>
  <si>
    <t>Estimating leaf carotenoid content in vineyards using high resolution hyperspectral imagery acquired from an unmanned aerial vehicle (UAV)</t>
  </si>
  <si>
    <t>Agricultural and Forest Meteorology</t>
  </si>
  <si>
    <t>https://openalex.org/W2142087338</t>
  </si>
  <si>
    <t>https://doi.org/10.1016/j.agrformet.2012.12.013</t>
  </si>
  <si>
    <t>Karotenoidi u vinogradu</t>
  </si>
  <si>
    <t>Evaluation of an unmanned rotorcraft to monitor wintering waterbirds and coastal habitats in British Columbia, Canada</t>
  </si>
  <si>
    <t>Journal of Unmanned Vehicle Systems</t>
  </si>
  <si>
    <t>https://openalex.org/W1892206252</t>
  </si>
  <si>
    <t>https://doi.org/10.1139/juvs-2015-0019</t>
  </si>
  <si>
    <t>The effective protection of coastal and estuarine habitats requires reliable monitoring information on their use by waterbirds, and the use of small unmanned aircraft systems (UAS) may provide access to these habitats without disturbing birds. We evaluated the use of a rotary-wing UAS with a high-end consumer camera to identify and count wintering waterbirds at two coastal sites in British Columbia, Canada, in January 2015, and to map mudflat and marsh habitats. Photos of shorebirds, waterfowl, and seabird species were taken at varying altitudes, and disturbance of birds appeared minimal when the UAS was flown at heights ≥61 m. A ground resolution of ~1 cm/pixel was needed to discern plumage…</t>
  </si>
  <si>
    <t>Vodene ptice i obalna staništa, mali UAS</t>
  </si>
  <si>
    <t>Deployment of an unmanned aerial system to assist in mapping an intermittent stream</t>
  </si>
  <si>
    <t>Hydrological Processes</t>
  </si>
  <si>
    <t>Flood Risk Assessment and Management</t>
  </si>
  <si>
    <t>https://openalex.org/W1692243462</t>
  </si>
  <si>
    <t>https://doi.org/10.1002/hyp.10597</t>
  </si>
  <si>
    <t>Abstract Recent growth in the capabilities of unmanned aerial vehicles and systems (UASs) as airborne platforms for collecting environmental data has been very rapid. There are now ample examples in the literature of UASs being deployed to map fine‐scale vegetation, glacial, soil and atmospheric conditions. The purported advantages of UASs are their ability to collect spatial data at lower cost, lower risk, higher resolution and higher frequency than ground surveys or satellite platforms. In this specific study, whether or not obtaining high‐resolution UAS imagery was advantageous for identifying an intermittent stream network was determined by comparing it with coarse‐scale satellite imager…</t>
  </si>
  <si>
    <t>Kartiranje povremenog vodotoka UAS-om</t>
  </si>
  <si>
    <t>Wildlife research and management methods in the 21st century: Where do unmanned aircraft fit in?</t>
  </si>
  <si>
    <t>https://openalex.org/W2130287418</t>
  </si>
  <si>
    <t>https://doi.org/10.1139/juvs-2015-0021</t>
  </si>
  <si>
    <t>Since the turn of the century, emerging unmanned aircraft systems (UAS) have found increasingly diverse applications in wildlife science as convenient, very high-resolution remote sensing devices. Achieved or conceptualized applications include optical surveying and observation of animals, autonomous wildlife telemetry tracking, and habitat research and monitoring. As the technology continues to progress and interest from the wildlife science community grows, there may yet be much untapped potential for UAS to contribute to the discipline. We present a review of the published primary literature on the application of UAS in wildlife science and related fields. This is followed by a systematic…</t>
  </si>
  <si>
    <t>Pregled: UAS u istraživanju divljači</t>
  </si>
  <si>
    <t>Method of Monitoring Cyanobacteria in Taihu Lake Based on the Low Altitude UAV with Visible-near Infrared Sensor</t>
  </si>
  <si>
    <t>Shandong Land and Resources</t>
  </si>
  <si>
    <t>https://openalex.org/W2354417035</t>
  </si>
  <si>
    <t>Due to limitations of the access cycle,traditional means of satellite remote sensing is difficult to ensure the timeliness of data in time frequency. The low-altitude UnmannedAerialVehicle( UAV) equipped with a small light sensor,its maneuvers,rapid,economic and other advantages play an increasingly important role in the field of environmental monitoring. In order to meet monitoring requirements of cyanobacteria in TaihuLake,a visible-near infrared sensor monitoring method has been found based on the low-altitude UAV. On the basis of system planning and design platform,selecting Meiliang Lake area of Taihu lake to carry out the experiment. Based on previous experiences,using the Visible and …</t>
  </si>
  <si>
    <t>Cijanobakterije u jezeru Taihu, UAV</t>
  </si>
  <si>
    <t>Using thermal infrared imagery produced by unmanned air vehicles to evaluate locations of ecological road structures</t>
  </si>
  <si>
    <t>Forestist</t>
  </si>
  <si>
    <t>https://openalex.org/W2192551928</t>
  </si>
  <si>
    <t>https://doi.org/10.17099/jffiu.76461</t>
  </si>
  <si>
    <t>The aerial photos and satellite images are widely used and cost efficient data for monitoring and analysis of large areas in forestry activities. Nowadays, accurate and high resolution remote sensing data can be generated for large areas by using Unmanned Aerial Vehicles (UAV) integrated with sensors working in various spectral bands. Besides, the UAV systems (UAVs) have been used in interdisciplinary studies to produce data of large scale forested areas for desired time periods (i.e. in different seasons or different times of a day). In recent years, it has become more important to conduct studies on determination of wildlife corridors for controlling and planning of habitat fragmentation o…</t>
  </si>
  <si>
    <t>Termalne UAV snimke za ekološke lokacije</t>
  </si>
  <si>
    <t>Comparison of atmospheric profile from ceilometer and UAV in the fog forest in central Taiwan.</t>
  </si>
  <si>
    <t>Japan Geoscience Union</t>
  </si>
  <si>
    <t>https://openalex.org/W2608167233</t>
  </si>
  <si>
    <t>Atmosferski profil u maglenoj šumi, UAV</t>
  </si>
  <si>
    <t>INTEGRATION OF LOW COST GEOMATIC TECNIQUES TO SUPPORT THE ARCHITECTONICAL PROJECT. THE PERLO CASTLE AREA SURVEY</t>
  </si>
  <si>
    <t>PORTO Publications Open Repository TOrino (Politecnico di Torino)</t>
  </si>
  <si>
    <t>https://openalex.org/W92203316</t>
  </si>
  <si>
    <t>In the high Tanaro Valley (Piedmont, Italy) the attestation of old pre-existence joined to the territory defence is possible to find numerous towers, castles, gouts and fortress. Today the most part of these cultural heritage are in ruin. Close to the municipality of Perlo few meters from the principal street, following a winding path is possible to arrive to a little hill; there the ruins of the old Castle of Perlo are hide from a rigorous vegetation. The old might of the fortress is lost today, is like an explosion of stone fragments swallow from the natural environment. The walls cut in some cases the hillok and the old towers are like rock spur. The requirement of the municipal administr…</t>
  </si>
  <si>
    <t>Arhitektonski projekt, geomatika</t>
  </si>
  <si>
    <t>Biology of Apis dorsata in Vietnam</t>
  </si>
  <si>
    <t>Springer Link (Chiba Institute of Technology)</t>
  </si>
  <si>
    <t>Insect and Pesticide Research</t>
  </si>
  <si>
    <t>https://openalex.org/W4387391007</t>
  </si>
  <si>
    <t>https://doi.org/10.1051/apido:2007002/pdf</t>
  </si>
  <si>
    <t>This paper studies the biology of A. dorsata in the Melaleuca forest of Vietnam. The width of 158 A. dorsata combs was from 43–162 cm, and the height from 23–90 cm. About 3–4 weeks after nesting, a colony could store 4.1 $\pm$ 2.6 kg of honey. The thickness of the worker brood comb was 3.3 cm and of the drone was 3.7 cm, but that of the honey comb was possibly 19.0 cm. The width of 10 continuous drone cells (58.1 $\pm$ 1.4 cm, n = 90) is significantly larger than that of worker cells (55.7 $\pm$ 1.7, n = 330). The depth of drone cells was 19.0 $\pm$ 0.4 mm (n = 90) and of worker cells was 17.4 $\pm$ 1.5 mm (n = 225). The weights of the newly emerged worker, drone and queen bees were 159.9 $\…</t>
  </si>
  <si>
    <t>„Drone“ = trut (Apis dorsata)</t>
  </si>
  <si>
    <t>Close Range Photogrammetry in the Survey of the Coastal Area Geoecological Conditions (on the Example of Portugal)</t>
  </si>
  <si>
    <t>Earth Sciences</t>
  </si>
  <si>
    <t>https://openalex.org/W2196131291</t>
  </si>
  <si>
    <t>https://doi.org/10.11648/j.earth.s.2015040501.17</t>
  </si>
  <si>
    <t>drone, uav, unmanned aerial</t>
  </si>
  <si>
    <t>Close range digital photogrammetry, which involves the application of unmanned aerial vehicle (UAV), has been used in a growing number of diverse applications across different scientific disciplines. Our objective was to use the mentioned method in the survey of the contemporary geoecological conditions of the coastal area on the example of Portuguese northwest coastal zone. The coastal zone can be subdivided into two geomorphological sectors: Sector 1, between the Minho River and the town of Espinho, where the coastal segments consist of estuaries, sandy and shingle beaches with rocky outcrops, and Holocene dune systems. The estuaries and the foredunes in particular are very degraded by hum…</t>
  </si>
  <si>
    <t>Geoekološki uvjeti obale, UAV fotogrametrija</t>
  </si>
  <si>
    <t>Study of the UAV for Application Plans and Landscape Analysis</t>
  </si>
  <si>
    <t>한국전통조경학회지</t>
  </si>
  <si>
    <t>https://openalex.org/W2519492495</t>
  </si>
  <si>
    <t>https://doi.org/10.14700/kitla.2014.32.3.213</t>
  </si>
  <si>
    <r>
      <rPr>
        <sz val="10"/>
        <rFont val="Noto Sans CJK SC"/>
        <family val="2"/>
      </rPr>
      <t xml:space="preserve">본 연구는 최근 급속한 기술발전이 이루어지고 있는 </t>
    </r>
    <r>
      <rPr>
        <sz val="10"/>
        <rFont val="Arial"/>
        <charset val="1"/>
      </rPr>
      <t>(UAV)</t>
    </r>
    <r>
      <rPr>
        <sz val="10"/>
        <rFont val="Noto Sans CJK SC"/>
        <family val="2"/>
      </rPr>
      <t>를 활용하여 지형분석에 적용하기 위한 실험적 연구로 드론과 자동 경로비행에 필요한 시스템을 구축하였다</t>
    </r>
    <r>
      <rPr>
        <sz val="10"/>
        <rFont val="Arial"/>
        <charset val="1"/>
      </rPr>
      <t xml:space="preserve">. </t>
    </r>
    <r>
      <rPr>
        <sz val="10"/>
        <rFont val="Noto Sans CJK SC"/>
        <family val="2"/>
      </rPr>
      <t>구축된 시스템을 이용하여 경로비행의 안정성을 검토하였으며</t>
    </r>
    <r>
      <rPr>
        <sz val="10"/>
        <rFont val="Arial"/>
        <charset val="1"/>
      </rPr>
      <t>, Waypoint</t>
    </r>
    <r>
      <rPr>
        <sz val="10"/>
        <rFont val="Noto Sans CJK SC"/>
        <family val="2"/>
      </rPr>
      <t>를 이용한 경로비행 촬영을 실시하여 유용성을 검증한 결과는 다음과 같다</t>
    </r>
    <r>
      <rPr>
        <sz val="10"/>
        <rFont val="Arial"/>
        <charset val="1"/>
      </rPr>
      <t xml:space="preserve">. </t>
    </r>
    <r>
      <rPr>
        <sz val="10"/>
        <rFont val="Noto Sans CJK SC"/>
        <family val="2"/>
      </rPr>
      <t>첫째</t>
    </r>
    <r>
      <rPr>
        <sz val="10"/>
        <rFont val="Arial"/>
        <charset val="1"/>
      </rPr>
      <t>, 9.3ha</t>
    </r>
    <r>
      <rPr>
        <sz val="10"/>
        <rFont val="Noto Sans CJK SC"/>
        <family val="2"/>
      </rPr>
      <t>에 달하는 면적에 대해 경로비행을 실시한 결과 준비시간을 포함하여 실측시간이 총</t>
    </r>
    <r>
      <rPr>
        <sz val="10"/>
        <rFont val="Arial"/>
        <charset val="1"/>
      </rPr>
      <t>40</t>
    </r>
    <r>
      <rPr>
        <sz val="10"/>
        <rFont val="Noto Sans CJK SC"/>
        <family val="2"/>
      </rPr>
      <t>여분 소요되었으며</t>
    </r>
    <r>
      <rPr>
        <sz val="10"/>
        <rFont val="Arial"/>
        <charset val="1"/>
      </rPr>
      <t xml:space="preserve">, </t>
    </r>
    <r>
      <rPr>
        <sz val="10"/>
        <rFont val="Noto Sans CJK SC"/>
        <family val="2"/>
      </rPr>
      <t>지상부에서 인가한 고도와 속도를 일정하게 유지하는 것을 알 수 있었다</t>
    </r>
    <r>
      <rPr>
        <sz val="10"/>
        <rFont val="Arial"/>
        <charset val="1"/>
      </rPr>
      <t xml:space="preserve">. </t>
    </r>
    <r>
      <rPr>
        <sz val="10"/>
        <rFont val="Noto Sans CJK SC"/>
        <family val="2"/>
      </rPr>
      <t xml:space="preserve">또한 경로비행 시 지상부에서 설정한 </t>
    </r>
    <r>
      <rPr>
        <sz val="10"/>
        <rFont val="Arial"/>
        <charset val="1"/>
      </rPr>
      <t xml:space="preserve">Waypoint </t>
    </r>
    <r>
      <rPr>
        <sz val="10"/>
        <rFont val="Noto Sans CJK SC"/>
        <family val="2"/>
      </rPr>
      <t>지점에서 정확하게 촬영임무를 수행하여</t>
    </r>
    <r>
      <rPr>
        <sz val="10"/>
        <rFont val="Arial"/>
        <charset val="1"/>
      </rPr>
      <t>, multicopter</t>
    </r>
    <r>
      <rPr>
        <sz val="10"/>
        <rFont val="Noto Sans CJK SC"/>
        <family val="2"/>
      </rPr>
      <t>를 이용한 사진실측의 효율성을 확인하였다</t>
    </r>
    <r>
      <rPr>
        <sz val="10"/>
        <rFont val="Arial"/>
        <charset val="1"/>
      </rPr>
      <t xml:space="preserve">. </t>
    </r>
    <r>
      <rPr>
        <sz val="10"/>
        <rFont val="Noto Sans CJK SC"/>
        <family val="2"/>
      </rPr>
      <t>둘째</t>
    </r>
    <r>
      <rPr>
        <sz val="10"/>
        <rFont val="Arial"/>
        <charset val="1"/>
      </rPr>
      <t xml:space="preserve">, </t>
    </r>
    <r>
      <rPr>
        <sz val="10"/>
        <rFont val="Noto Sans CJK SC"/>
        <family val="2"/>
      </rPr>
      <t xml:space="preserve">일반 실측용 무인항공기에 비해 가볍고 저렴한 </t>
    </r>
    <r>
      <rPr>
        <sz val="10"/>
        <rFont val="Arial"/>
        <charset val="1"/>
      </rPr>
      <t>multicopter</t>
    </r>
    <r>
      <rPr>
        <sz val="10"/>
        <rFont val="Noto Sans CJK SC"/>
        <family val="2"/>
      </rPr>
      <t>와 디지털카메라를 이용하여 촬영의 기동성과 경제성을 확인하였으며</t>
    </r>
    <r>
      <rPr>
        <sz val="10"/>
        <rFont val="Arial"/>
        <charset val="1"/>
      </rPr>
      <t xml:space="preserve">, </t>
    </r>
    <r>
      <rPr>
        <sz val="10"/>
        <rFont val="Noto Sans CJK SC"/>
        <family val="2"/>
      </rPr>
      <t xml:space="preserve">촬영된 사진데이터의 정합과 </t>
    </r>
    <r>
      <rPr>
        <sz val="10"/>
        <rFont val="Arial"/>
        <charset val="1"/>
      </rPr>
      <t>DEM, DXF</t>
    </r>
    <r>
      <rPr>
        <sz val="10"/>
        <rFont val="Noto Sans CJK SC"/>
        <family val="2"/>
      </rPr>
      <t xml:space="preserve">파일의 추출을 통해 수치지형도 보다 정밀한 지형분석이 가능하여 </t>
    </r>
    <r>
      <rPr>
        <sz val="10"/>
        <rFont val="Arial"/>
        <charset val="1"/>
      </rPr>
      <t>multicopter</t>
    </r>
    <r>
      <rPr>
        <sz val="10"/>
        <rFont val="Noto Sans CJK SC"/>
        <family val="2"/>
      </rPr>
      <t>를 이용한 지형실측의 가능성을 확인하였다</t>
    </r>
    <r>
      <rPr>
        <sz val="10"/>
        <rFont val="Arial"/>
        <charset val="1"/>
      </rPr>
      <t xml:space="preserve">. </t>
    </r>
    <r>
      <rPr>
        <sz val="10"/>
        <rFont val="Noto Sans CJK SC"/>
        <family val="2"/>
      </rPr>
      <t>셋째</t>
    </r>
    <r>
      <rPr>
        <sz val="10"/>
        <rFont val="Arial"/>
        <charset val="1"/>
      </rPr>
      <t xml:space="preserve">, </t>
    </r>
    <r>
      <rPr>
        <sz val="10"/>
        <rFont val="Noto Sans CJK SC"/>
        <family val="2"/>
      </rPr>
      <t>하천내부에 대한 고해상 정사영상사진</t>
    </r>
    <r>
      <rPr>
        <sz val="10"/>
        <rFont val="Arial"/>
        <charset val="1"/>
      </rPr>
      <t>(20Cm</t>
    </r>
    <r>
      <rPr>
        <sz val="10"/>
        <rFont val="Noto Sans CJK SC"/>
        <family val="2"/>
      </rPr>
      <t>급</t>
    </r>
    <r>
      <rPr>
        <sz val="10"/>
        <rFont val="Arial"/>
        <charset val="1"/>
      </rPr>
      <t>)</t>
    </r>
    <r>
      <rPr>
        <sz val="10"/>
        <rFont val="Noto Sans CJK SC"/>
        <family val="2"/>
      </rPr>
      <t>을 제작함으로써 하천변일대에 대한 식생과 지형의 변화 등에 대한 분석이 가능한 것을 확인하였다</t>
    </r>
    <r>
      <rPr>
        <sz val="10"/>
        <rFont val="Arial"/>
        <charset val="1"/>
      </rPr>
      <t xml:space="preserve">. </t>
    </r>
    <r>
      <rPr>
        <sz val="10"/>
        <rFont val="Noto Sans CJK SC"/>
        <family val="2"/>
      </rPr>
      <t xml:space="preserve">또한 촬영지점의 </t>
    </r>
    <r>
      <rPr>
        <sz val="10"/>
        <rFont val="Arial"/>
        <charset val="1"/>
      </rPr>
      <t>GPS</t>
    </r>
    <r>
      <rPr>
        <sz val="10"/>
        <rFont val="Noto Sans CJK SC"/>
        <family val="2"/>
      </rPr>
      <t>좌표에 대한 데이터베이스를 통해 미세지형의 변화 등과 같은 경관변화와 하천변 일대 또는 수림지 등에 대한 식생변화 등을 지속…</t>
    </r>
  </si>
  <si>
    <t>Analiza krajobraza/planiranje (Koreja)</t>
  </si>
  <si>
    <t>3D model of Lugo’s Roman Walls (Galicia-Spain) using a Terrestrial Laser Scanner and Unmanned Aerial Vehicle.</t>
  </si>
  <si>
    <t>CAA 2012</t>
  </si>
  <si>
    <t>https://openalex.org/W2496601862</t>
  </si>
  <si>
    <t>Nowadays, there is a growing interest in application and development of new digital spatial technologies for 3D data capture, analysis and visualisation and subsequent documentation, investigation and conservation of cultural heritage. This paper presents a topographical survey with various spatial techniques which are combined to achieve a 3D model of Roman Walls in city of Lugo in northwest Spain. The walls were built in later part of 3 rd century and are located in historic city centre. They are one of best preserved in world and only one of it’s kind with completely intact walls. The entire length of walls is around 2 km, enclosing an area of 34 ha. In 2000, walls were inscribed on UNESC…</t>
  </si>
  <si>
    <t>Rimske zidine, kulturna baština</t>
  </si>
  <si>
    <t>WILDLIFE MULTISPECIES REMOTE SENSING USING VISIBLE AND THERMAL INFRARED IMAGERY ACQUIRED FROM AN UNMANNED AERIAL VEHICLE (UAV)</t>
  </si>
  <si>
    <t>The international archives of the photogrammetry, remote sensing and spatial information sciences/International archives of the photogrammetry, remote sensing and spatial information sciences</t>
  </si>
  <si>
    <t>https://openalex.org/W2274694356</t>
  </si>
  <si>
    <t>https://doi.org/10.5194/isprsarchives-xl-1-w4-241-2015</t>
  </si>
  <si>
    <t>Abstract. Wildlife aerial surveys require time and significant resources. Multispecies detection could reduce costs to a single census for species that coexist spatially. Traditional methods are demanding for observers in terms of concentration and are not adapted to multispecies censuses. The processing of multispectral aerial imagery acquired from an unmanned aerial vehicle (UAV) represents a potential solution for multispecies detection. The method used in this study is based on a multicriteria object-based image analysis applied on visible and thermal infrared imagery acquired from a UAV. This project aimed to detect American bison, fallow deer, gray wolves, and elks located in separate …</t>
  </si>
  <si>
    <t>Viševrsni popis divljači UAV-om</t>
  </si>
  <si>
    <t>Fault Detection of Aircraft System with Random Forest Algorithm and Similarity Measure</t>
  </si>
  <si>
    <t>The Scientific World JOURNAL</t>
  </si>
  <si>
    <t>Fault Detection and Control Systems</t>
  </si>
  <si>
    <t>https://openalex.org/W2111621334</t>
  </si>
  <si>
    <t>https://doi.org/10.1155/2014/727359</t>
  </si>
  <si>
    <t>uav, unmanned aircraft</t>
  </si>
  <si>
    <t>Research on fault detection algorithm was developed with the similarity measure and random forest algorithm. The organized algorithm was applied to unmanned aircraft vehicle (UAV) that was readied by us. Similarity measure was designed by the help of distance information, and its usefulness was also verified by proof. Fault decision was carried out by calculation of weighted similarity measure. Twelve available coefficients among healthy and faulty status data group were used to determine the decision. Similarity measure weighting was done and obtained through random forest algorithm (RFA); RF provides data priority. In order to get a fast response of decision, a limited number of coefficien…</t>
  </si>
  <si>
    <t>Detekcija kvarova UAV-a</t>
  </si>
  <si>
    <t>Automatic Forest-Fire Measuring Using Ground Stations and Unmanned Aerial Systems</t>
  </si>
  <si>
    <t>Sensors</t>
  </si>
  <si>
    <t>https://openalex.org/W2052466191</t>
  </si>
  <si>
    <t>https://doi.org/10.3390/s110606328</t>
  </si>
  <si>
    <t>This paper presents a novel system for automatic forest-fire measurement using cameras distributed at ground stations and mounted on Unmanned Aerial Systems (UAS). It can obtain geometrical measurements of forest fires in real-time such as the location and shape of the fire front, flame height and rate of spread, among others. Measurement of forest fires is a challenging problem that is affected by numerous potential sources of error. The proposed system addresses them by exploiting the complementarities between infrared and visual cameras located at different ground locations together with others onboard Unmanned Aerial Systems (UAS). The system applies image processing and geo-location tec…</t>
  </si>
  <si>
    <t>Mjerenje šumskih požara UAS-om</t>
  </si>
  <si>
    <t>Fellowship of the Snow</t>
  </si>
  <si>
    <t>The Journal of Trauma: Injury, Infection, and Critical Care</t>
  </si>
  <si>
    <t>Mind wandering and attention</t>
  </si>
  <si>
    <t>https://openalex.org/W2416225139</t>
  </si>
  <si>
    <t>https://doi.org/10.1097/ta.0000000000000253</t>
  </si>
  <si>
    <t>David H. Livingston, MD, WTA president.Well, that is a WTA (Western Trauma Association) moment! Classic Western Trauma! That would make the perfect WTA abstract! These phrases are a unique part of our lexicon and mythology. I do not think I have ever heard of an AAST (American Association for the Surgery of Trauma) moment and definitely not an SUS or American Surgical moment. There is no doubt that this is a special and unique organization such that being your president is the pinnacle of my professional career. When I thought about the most memorable addresses I have heard in this forum during the past 2 decades, they have been personal and have come from the heart. They also most commonly …</t>
  </si>
  <si>
    <t>Nema UAV pojma (Fellowship of the Snow)</t>
  </si>
  <si>
    <t>Unmanned aerial vehicles as innovative remote sensing platforms for high‐resolution infrared imagery to support restoration monitoring in cut‐over bogs</t>
  </si>
  <si>
    <t>Applied Vegetation Science</t>
  </si>
  <si>
    <t>https://openalex.org/W1999949151</t>
  </si>
  <si>
    <t>https://doi.org/10.1111/avsc.12024</t>
  </si>
  <si>
    <t>Abstract Question Can UAV‐based NIR remote sensing support restoration monitoring of cut‐over bogs by providing valid information on species distribution and surface structure? Location Restored polders of the Uchter Moor, a bog complex in NW Germany. Methods We used autonomously flying quadrocopters, supplied with either a panchromatic or colour infrared calibrated small frame digital camera to generate high resolution images of the restored bog surface. We performed a two‐step classification process of automatic image segmentation and object‐based classification to distinguish between four pre‐defined classes (waterlogged bare peat, Sphagnum spp., Eriophorum vaginatum and Betula pubescens.…</t>
  </si>
  <si>
    <t>UAV kao platforma za IR snimanje (primjena nejasna)</t>
  </si>
  <si>
    <t>NUEVA SEDE PARA CIENCIAS DEL MAR EN MAZATLÁN. ESTARÁ EN LA ISLA DE LA PIEDRA</t>
  </si>
  <si>
    <t>Gaceta UNAM (2000-2009)</t>
  </si>
  <si>
    <t>Environmental and Ecological Studies</t>
  </si>
  <si>
    <t>https://openalex.org/W1763529565</t>
  </si>
  <si>
    <t>LA UNIDAD ACADEMICA MAZATLAN, DEL INSTITUTO DE CIENCIAS DEL MAR Y LIMNOLOGIA (ICMYL), TENDRA NUEVAS Y MEJORES INSTALACIONES EN LA ISLA DE PIEDRA, EN MAZATLAN, SINALOA -MISMAS QUE SE CONSTRUIRAN EN UN CORTO PLAZO-, MIENTRAS SU ACTUAL INMUEBLE LO CEDERA LA UNAM A LA UNIVERSIDAD AUTONOMA DE SINALOA (UAS). LA PROXIMA UNIDAD SE EDIFICARA EN UN PREDIO QUE LE OTORGO EL GOBIERNO DEL ESTADO. CONTARA CON UNA ZONA DE RESERVA ECOLOGICA: ACUARIOS, ESTANQUES EXPERIMENTALES, LABORATORIOS, UNA GRAN BIBLIOTECA SOBRE CIENCIAS DEL MAR QUE SERA REFERENTE NACIONAL Y LATINOAMERICANO Y, SOBRE TODO, SE PODRAN IMPULSAR LAS TAREAS DE DOCENCIA Y DIVULGACION DEL CONOCIMIENTO. AHI TAMBIEN HABRAN INSTALACIONES DE LA UAS.…</t>
  </si>
  <si>
    <t>„UAS“ = Universidad Autónoma de Sinaloa</t>
  </si>
  <si>
    <t>Thermal and Narrowband Multispectral Remote Sensing for Vegetation Monitoring From an Unmanned Aerial Vehicle</t>
  </si>
  <si>
    <t>IEEE Transactions on Geoscience and Remote Sensing</t>
  </si>
  <si>
    <t>https://openalex.org/W2133125644</t>
  </si>
  <si>
    <t>https://doi.org/10.1109/tgrs.2008.2010457</t>
  </si>
  <si>
    <t>Two critical limitations for using current satellite sensors in real-time crop management are the lack of imagery with optimum spatial and spectral resolutions and an unfavorable revisit time for most crop stress-detection applications. Alternatives based on manned airborne platforms are lacking due to their high operational costs. A fundamental requirement for providingusefulremote sensing products in agriculture is the capacity to combine high spatial resolution and quick turnaround times. Remote sensing sensors placed on unmanned aerial vehicles (UAVs) could fill this gap, providing low-cost approaches to meet the critical requirements of spatial, spectral, and temporal resolutions. This …</t>
  </si>
  <si>
    <t>Praćenje vegetacije za upravljanje usjevima</t>
  </si>
  <si>
    <t>Locating chimpanzee nests and identifying fruiting trees with an unmanned aerial vehicle</t>
  </si>
  <si>
    <t>American Journal of Primatology</t>
  </si>
  <si>
    <t>Primate Behavior and Ecology</t>
  </si>
  <si>
    <t>https://openalex.org/W1956094000</t>
  </si>
  <si>
    <t>https://doi.org/10.1002/ajp.22446</t>
  </si>
  <si>
    <t>Monitoring of animal populations is essential for conservation management. Various techniques are available to assess spatiotemporal patterns of species distribution and abundance. Nest surveys are often used for monitoring great apes. Quickly developing technologies, including unmanned aerial vehicles (UAVs) can be used to complement these ground-based surveys, especially for covering large areas rapidly. Aerial surveys have been used successfully to detect the nests of orang-utans. It is unknown if such an approach is practical for African apes, which usually build their nests at lower heights, where they might be obscured by forest canopy. In this 2-month study, UAV-derived aerial imagery…</t>
  </si>
  <si>
    <t>Gnijezda čimpanzi i plodonosna stabla, UAV</t>
  </si>
  <si>
    <t>The Analysis of Temporal and Spatial Variation on the Vegetation Area of the Siwha Tidat Flat</t>
  </si>
  <si>
    <t>Journal of Environmental Impact Assessment</t>
  </si>
  <si>
    <t>Ecology and Conservation Studies</t>
  </si>
  <si>
    <t>https://openalex.org/W210113691</t>
  </si>
  <si>
    <t>https://doi.org/10.14249/eia.2011.20.3.349</t>
  </si>
  <si>
    <t>This research is aim to analyze of changing landscape and according to phenological cycle from image information of coastal environment obtained by multi-media were analyzed by camera and satellite image. The digital camera and satellite image were used for tidal flat vegetation monitoring during the construction of Sihwa lake. The vegetation type and phenological cycle of Sihwa tidal flat have been changed with the Sihwa lake ecosystem. The environment changes of Sihwa tidal flat area and ecological change were analyzed by field work digital camera images and satellite images. The airborne, UAV and satellite images were classified with the changed elements of coastal ecological environment …</t>
  </si>
  <si>
    <t>Vegetacija plimne ravnice, UAV snimke</t>
  </si>
  <si>
    <t>GreenHouse gas Observations of the Stratosphere and Troposphere (GHOST): Deployment of a Novel Shortwave Infrared Spectrometer On Board the NASA Global Hawk Unmanned Aerial Vehicle</t>
  </si>
  <si>
    <t>2015 AGU Fall Meeting</t>
  </si>
  <si>
    <t>Atmospheric Ozone and Climate</t>
  </si>
  <si>
    <t>https://openalex.org/W2624798775</t>
  </si>
  <si>
    <t>Mjerenja stakleničkih plinova s Global Hawk UAV-a</t>
  </si>
  <si>
    <t>Managing 50,000 Acres of Private Land in Texas: Results of a recent 2,000 acre pedestrian, UAV, and vegetation survey in the Sierra Diablo Mountains.</t>
  </si>
  <si>
    <t>The 80th Annual Meeting of the Society for American Archaeology</t>
  </si>
  <si>
    <t>Forest Management and Policy</t>
  </si>
  <si>
    <t>https://openalex.org/W1033501934</t>
  </si>
  <si>
    <t>Popis vegetacije privatnog zemljišta, UAV</t>
  </si>
  <si>
    <t>PERFORMANCE CHARACTERISTIC MEMS-BASED IMUs FOR UAVs NAVIGATION</t>
  </si>
  <si>
    <t>https://openalex.org/W1887247996</t>
  </si>
  <si>
    <t>https://doi.org/10.5194/isprsarchives-xl-1-w4-337-2015</t>
  </si>
  <si>
    <t>Abstract. Accurate 3D reconstruction has become essential for non-traditional mapping applications such as urban planning, mining industry, environmental monitoring, navigation, surveillance, pipeline inspection, infrastructure monitoring, landslide hazard analysis, indoor localization, and military simulation. The needs of these applications cannot be satisfied by traditional mapping, which is based on dedicated data acquisition systems designed for mapping purposes. Recent advances in hardware and software development have made it possible to conduct accurate 3D mapping without using costly and high-end data acquisition systems. Low-cost digital cameras, laser scanners, and navigation syst…</t>
  </si>
  <si>
    <t>MEMS IMU za navigaciju UAV-a</t>
  </si>
  <si>
    <t>Research of Low-altitude Photogrammetry Implementation Strategy of China's Ancient Circumvallation Project of Surveying and Mapping of Ming Dynasty Circumvallation (Southern Wall Section)</t>
  </si>
  <si>
    <t>https://openalex.org/W2204050869</t>
  </si>
  <si>
    <t>Most of the existing ancient circumvallation in China today is in the natural environment and the environment has never been cleaned up. As the blockings caused by the vegetation on the circumvallation itself, the surrounding vegetations, the constructions and other surface features affect the terrestrial laser scanning and the low altitude photogrammetry, there are often incomplete three‐dimensional points cloud data. Therefore, in the prior period of conservation works, surveying and mapping are difficult to implement under this circumstance. In this paper, based on the surveying and mapping of ZhengDing Ming Circumvallation and some other ancient circumvallation in northern China, charact…</t>
  </si>
  <si>
    <t>Stare utvrde, fotogrametrija baštine</t>
  </si>
  <si>
    <t>Phenotyping in the fields: dissecting the genetics of quantitative traits and digital farming</t>
  </si>
  <si>
    <t>New Phytologist</t>
  </si>
  <si>
    <t>Wheat and Barley Genetics and Pathology</t>
  </si>
  <si>
    <t>https://openalex.org/W2135362361</t>
  </si>
  <si>
    <t>https://doi.org/10.1111/nph.13529</t>
  </si>
  <si>
    <t>‘… development of novel approaches for studying traits like nutrient, water and radiation-use efficiency must be developed under field conditions …’ Crop production has to substantially increase within the next decades, following an already long history of changing plant traits to produce desired characteristics. Thus, plant performance has been substantially influenced during domestication and post-domestication selection, including modern breeding. In the group of Roberto Papa (University of Ancona, Italy) the complementing use of genomic analysis, molecular phenotyping, and high-throughput phenotyping of wild and domesticated common bean accessions revealed a tremendous impact of specific…</t>
  </si>
  <si>
    <t>Fenotipizacija, digitalna poljoprivreda</t>
  </si>
  <si>
    <t>Inventory of Small Forest Areas Using an Unmanned Aerial System</t>
  </si>
  <si>
    <t>https://openalex.org/W1522525389</t>
  </si>
  <si>
    <t>https://doi.org/10.3390/rs70809632</t>
  </si>
  <si>
    <t>Acquiring high spatial and temporal resolution imagery from small unmanned aerial systems (sUAS) provides new opportunities for inventorying forests at small scales. Only a few studies have investigated the use of UASs in forest inventories, and the results are inconsistent and incomplete. The present study used three-dimensional (3D) variables derived from UAS imagery in combination with ground reference data to fit linear models for Lorey’s mean height (hL), dominant height (hdom), stem number (N), basal area (G), and stem volume (V). Plot-level cross validation revealed adjusted R2 values of 0.71, 0.97, 0.60, 0.60, and 0.85 for hL, hdom, N, G, and V, respectively, with corresponding RMSE …</t>
  </si>
  <si>
    <t>Inventura malih šumskih površina UAS-om</t>
  </si>
  <si>
    <t>Low-cost lightweight airborne laser-based sensors for pipeline leak detection and reporting</t>
  </si>
  <si>
    <t>Atmospheric and Environmental Gas Dynamics</t>
  </si>
  <si>
    <t>https://openalex.org/W3179232040</t>
  </si>
  <si>
    <t>Laser sensing enables aerial detection of natural gas pipeline leaks without need to fly through a hazardous gas plume. This paper describes adaptations of commercial laser-based methane sensing technology that provide relatively low-cost lightweight and battery-powered aerial leak sensors. The underlying technology is near-infrared Standoff Tunable Diode Laser Absorption Spectroscopy (sTDLAS). In one configuration, currently in commercial operation for pipeline surveillance, sTDLAS is combined with automated data reduction, alerting, navigation, and video imagery, integrated into a single-engine single-pilot light fixed-wing aircraft or helicopter platform. In a novel configuration for mapp…</t>
  </si>
  <si>
    <t>Detekcija curenja plina (metan) laserskim senzorom na UAV-u</t>
  </si>
  <si>
    <t>Development of low-cost and flexible vegetation monitoring system using small unmanned aerial vehicle</t>
  </si>
  <si>
    <t>2009 ICCAS-SICE</t>
  </si>
  <si>
    <t>https://openalex.org/W3150939766</t>
  </si>
  <si>
    <t>Sustav praćenja vegetacije malim UAV-om</t>
  </si>
  <si>
    <t>Unmanned aerial vehicle application for mapping individual plants: the case of the Nebrodi beech forest</t>
  </si>
  <si>
    <t>https://openalex.org/W2944501415</t>
  </si>
  <si>
    <t>Kartiranje pojedinačnih stabala bukove šume</t>
  </si>
  <si>
    <t>Adaptive gas source localization strategies and gas distribution mapping using a gas-sensitive micro-drone</t>
  </si>
  <si>
    <t>https://openalex.org/W339750658</t>
  </si>
  <si>
    <t>In this paper we exemplify how to address environmental monitoring tasks with a gas-sensitive micro-drone and present two different approaches to locate gas emission sources. First, we sent the mic ...</t>
  </si>
  <si>
    <t>Kartiranje raspodjele plina mikro-dronom</t>
  </si>
  <si>
    <t>A flexible unmanned aerial vehicle for precision agriculture</t>
  </si>
  <si>
    <t>https://openalex.org/W2151499786</t>
  </si>
  <si>
    <t>https://doi.org/10.1007/s11119-012-9257-6</t>
  </si>
  <si>
    <t>UAV za preciznu poljoprivredu</t>
  </si>
  <si>
    <t>AlpSAR 2012-13, a Field Experiment on Snow Observations and Parameter Retrievals with Ku- and X-Band Radar</t>
  </si>
  <si>
    <t>Scholar Works  (Boise State University)</t>
  </si>
  <si>
    <t>Cryospheric studies and observations</t>
  </si>
  <si>
    <t>https://openalex.org/W292798094</t>
  </si>
  <si>
    <t>In order to support the development of observation techniques and inversion algorithms for the retrieval of physical snow parameters from high frequency radar backscatter data, field campaigns have been performed in previous winters in Northern Finland, Canada and United States. In winter 2012-13 additional field campaigns take place in the Austrian Alps within the AlpSAR experiment. AlpSAR is aimed at enhancing the experimental data base on radar backscatter by covering different snow regimes and terrain types than in previous campaigns. A main objective of the campaign is the testing and validation of algorithms for retrieval of the water equivalent (SWE) of winter snow cover over differen…</t>
  </si>
  <si>
    <t>Snježna opažanja, UAV snimanje kao pomoćni podatak</t>
  </si>
  <si>
    <t>Forestry Reports</t>
  </si>
  <si>
    <t>Journal of Forestry</t>
  </si>
  <si>
    <t>Plant Ecology and Soil Science</t>
  </si>
  <si>
    <t>https://openalex.org/W4251900152</t>
  </si>
  <si>
    <t>https://doi.org/10.5849/jof.14-899</t>
  </si>
  <si>
    <t>Nema UAV pojma (Forestry Reports)</t>
  </si>
  <si>
    <t>Lighter-than-air stationary observation platforms</t>
  </si>
  <si>
    <t>RMIT Research Repository (RMIT University Library)</t>
  </si>
  <si>
    <t>https://openalex.org/W2254251245</t>
  </si>
  <si>
    <t>uavs</t>
  </si>
  <si>
    <t>The benefits of stationary aerial platforms for continuous observation of a fixed area are evident in cases such as natural disasters, environmental monitoring, intelligence gathering, etc. A still photo is useful but temporal information, over many days, is in many cases critical to determine the best possible response. Satellites are the most obvious instrument for this purpose, but have limitations in terms of positioning time, time on station and cost. Conventional UAVs are another solution, but have limited endurance. Technological developments in lighter-than-air (LTA) systems have made them an attractive option for carrying a sensor suite to high altitudes. For example, using light we…</t>
  </si>
  <si>
    <t>Platforme lakše od zraka; UAV samo spomenut</t>
  </si>
  <si>
    <t>Photogrammetry with an Unmanned Aerial System to Assess Body Condition and Growth of Blainville's Beaked Whales</t>
  </si>
  <si>
    <t>https://openalex.org/W2597748452</t>
  </si>
  <si>
    <t>Abstract : We propose to use the NOAA APH-22 marine hexacopter as an Unmanned Aerial System (UAS) to obtain vertical images of whale lengths and width profiles. This small, battery-powered platform is quiet, cost-effective and safe to operate from small boats, and can hover over animal groups. We will launch the hexacopter from a boat platform to fly short missions over beaked whales when they are sighted close-by at the surface, obtaining high resolution digital images from a height of approximately 30m. We will validate this system for beaked whales during a field trial in summer 2016 south of Great Abaco Island, northern Bahamas, where a photo-identification study over 18 years has demons…</t>
  </si>
  <si>
    <t>Fotogrametrija kitova UAS-om</t>
  </si>
  <si>
    <t>Path planning of UAV in water environmental monitoring</t>
  </si>
  <si>
    <t>https://openalex.org/W2381572317</t>
  </si>
  <si>
    <t>In water environmental monitoring,unmanned aerial vehicle(UAV) can not monitor all the areas at a time due to the influence of its physical properties and risk factor.So it’s extremely important to bring the service efficiency of the UAV into full play.The optimal path planning problem of the UAV for water environmental monitoring is presented and a mathematic model of the problem is built up.On the basis of this,a geneticsimulation annealing algorithm is presented.The computational amount is decreased,a method combined of both grid space indication and directional code is adopted.The simulation test result indicates that this method can get a better solution than genetic algorithm and it ca…</t>
  </si>
  <si>
    <t>Planiranje putanje UAV-a za praćenje voda</t>
  </si>
  <si>
    <t>The Dulcimore</t>
  </si>
  <si>
    <t>Appalachian heritage</t>
  </si>
  <si>
    <t>Irish and British Studies</t>
  </si>
  <si>
    <t>https://openalex.org/W4206478398</t>
  </si>
  <si>
    <t>https://doi.org/10.1353/aph.2005.0038</t>
  </si>
  <si>
    <t>FEATURED AUTHOR—FICTION The Dulcimore Emma Bell Miles THE MOUNTING SUMMER had at last escaped the grasp of the April chill, and the season's growth came on with a headlong rush. The forest was one rustling loom of life-stuff, everywhere thrilling to million-tinted glories of summer beauty and abundance. Between twin hills that lay against the sky, dark and softly rounded as the breasts of a slave-mother, the old smithy nestled. It was a log structure, low and windowless, and lighted like a grotto withblue and greenish reflections from the hot sunshine outside. The young giant in the leather apron was clanking steadily on with his task, albeit he had a visitor. Straight from trysting with the…</t>
  </si>
  <si>
    <t>Nema UAV pojma (The Dulcimore)</t>
  </si>
  <si>
    <t>Design and implementation of a forest fire monitoring system using a miniature unmanned aerial vehicle</t>
  </si>
  <si>
    <t>Journal of Zhejiang A &amp; F University</t>
  </si>
  <si>
    <t>https://openalex.org/W2389498532</t>
  </si>
  <si>
    <t>To explore a new means of forest fire monitoring and to improve the management level of forest safety,real-time video and computer technology were combined to develop a new piece of forest fire monitoring equipment.This equipment and a miniature unmanned aerial vehicle(UAV) together formed the miniature aerial forest fire monitoring system.Sampled RGB value of image pixels,a smoke recognition model was established by using the statistical product and service solution(SPSS) for cluster analysis.The model had been improved for smoke spectrum and noise reduction,cloud recognize more than 77% smoke pixels of test images.With the recognition model,immediate fire detection and warning could occur.…</t>
  </si>
  <si>
    <t>Sustav praćenja šumskih požara mini-UAV-om</t>
  </si>
  <si>
    <t>Unmanned Aircraft Systems complement biologging in spatial ecology studies</t>
  </si>
  <si>
    <t>Ecology and Evolution</t>
  </si>
  <si>
    <t>https://openalex.org/W1920083332</t>
  </si>
  <si>
    <t>https://doi.org/10.1002/ece3.1744</t>
  </si>
  <si>
    <t>The knowledge about the spatial ecology and distribution of organisms is important for both basic and applied science. Biologging is one of the most popular methods for obtaining information about spatial distribution of animals, but requires capturing the animals and is often limited by costs and data retrieval. Unmanned Aircraft Systems (UAS) have proven their efficacy for wildlife surveillance and habitat monitoring, but their potential contribution to the prediction of animal distribution patterns and abundance has not been thoroughly evaluated. In this study, we assess the usefulness of UAS overflights to (1) get data to model the distribution of free-ranging cattle for a comparison wit…</t>
  </si>
  <si>
    <t>UAS + biologging u prostornoj ekologiji</t>
  </si>
  <si>
    <t>The Whalesong</t>
  </si>
  <si>
    <t>ScholarWorks - UA (University of Alaska System)</t>
  </si>
  <si>
    <t>Higher Education Research Studies</t>
  </si>
  <si>
    <t>https://openalex.org/W7139151544</t>
  </si>
  <si>
    <t>Changes on the menu for UAS cafeteria -- Board of Regents approve 7 percent tuition hike to support operations costs -- What's going on? -- Learning central - encouraging good study habits -- UA in brief -- Student liaisons to the UA administration -- Whalesong gets a tune-up -- Osama's been lost in political games -- Spotlight: Chef feeds student spirit -- Students and faculty fight fires in the name of safety -- Marine Highway offers a scenic and secure alternative to air travel -- Iran exports student, as well as oil -- Fairbanks in budget crisis effects UAF students -- Blended sport lures students into the woods -- And you thought that you had heard some strange arguments... -- Ketchikan…</t>
  </si>
  <si>
    <t>„UAS“ = sveučilišna kafeterija</t>
  </si>
  <si>
    <t>The use of conservation drones in ecology and wildlife research</t>
  </si>
  <si>
    <t>Journal of Ecology and Environment</t>
  </si>
  <si>
    <t>https://openalex.org/W1984289423</t>
  </si>
  <si>
    <t>https://doi.org/10.5141/ecoenv.2015.012</t>
  </si>
  <si>
    <t>Conservation drones are remote-controlled devices capable of collecting information from difficult-to-access places while minimizing disturbance. Although drones are increasingly used in many research disciplines, their application to wildlife research remains to be explored in depth. This paper reports on the use of Phantom 2 Vision+ for monitoring areas in two national parks in South Korea. The first research area was conducted in Chiaksan National Park, and the second in Taeanhaean National Park. The aim of this research is to introduce ecologists and researchers alike to conservation drones and to show how these new tools have are fundamentally helping in the development of natural scien…</t>
  </si>
  <si>
    <t>Konzervacijski dronovi u ekologiji</t>
  </si>
  <si>
    <t>Neuro-optimal control of an unmanned helicopter</t>
  </si>
  <si>
    <t>The Journal of Defense Modeling and Simulation Applications Methodology Technology</t>
  </si>
  <si>
    <t>Adaptive Dynamic Programming Control</t>
  </si>
  <si>
    <t>https://openalex.org/W2029059986</t>
  </si>
  <si>
    <t>https://doi.org/10.1177/1548512912450369</t>
  </si>
  <si>
    <t>Helicopter unmanned aerial vehicles (UAVs) can be extensively used for military missions as well as in civil operations, ranging from multi-role combat support and search and rescue, to border surveillance and forest fire monitoring. Helicopter UAVs are underactuated nonlinear mechanical systems with correspondingly challenging controller designs. This paper presents an optimal controller design for tracking of an underactuated helicopter using an adaptive critic neural network (NN) framework. The online approximator-based controller learns the infinite-horizon continuous-time Hamilton–Jacobi–Bellman (HJB) equation and then calculates the corresponding optimal control input that minimizes th…</t>
  </si>
  <si>
    <t>Upravljanje bespilotnim helikopterom</t>
  </si>
  <si>
    <t>Surveying applications of photogrammetric UAVs -a comparison with conventional survey techniques</t>
  </si>
  <si>
    <t>https://openalex.org/W2467989596</t>
  </si>
  <si>
    <t>drones, uav, uavs, unmanned aerial</t>
  </si>
  <si>
    <t>Unmanned Aerial Vehicles – or Drones is a broad term for a range of aerial vehicles that are not manned. UAVs are capable of capturing ground spatial data by mounting a camera onto the UAV to capture photogrammetric images. These photogrammetric images are able to be geo-referenced using a process called ortho-rectification. From these geo-referenced images spatial data can be obtained and output such as digital elevation models. With the ever increasing access and reduced costs to this type of technology this may become a viable tool for the modern surveyor to increase their efficiency and reduce workplace risks.
The modern surveyor must continually adapt their field practices to match…</t>
  </si>
  <si>
    <t>Geodetska izmjera UAV-om (bez okolišne primjene)</t>
  </si>
  <si>
    <t>Osjetljivost na strogi upit: D AND E NOT (crop OR crops OR yield OR agriculture OR agricultural OR wheat OR maize OR rice OR soybean OR vineyard OR phenotyping OR weed OR weeds); OpenAlex, dohvat 27. 8. 2026.</t>
  </si>
  <si>
    <t>core_drone_env</t>
  </si>
  <si>
    <t>strict_noagri</t>
  </si>
  <si>
    <t>omjer strict/core</t>
  </si>
  <si>
    <t>CAGR 2005–2025</t>
  </si>
  <si>
    <t>CAGR 2015–2025</t>
  </si>
  <si>
    <t>Tumačenje: omjer pada s ~0,86 (2005.) na ~0,70 (2025.) — udio poljoprivrednih radova u upitu raste; strogi upit raste ~1,4 postotna boda sporije godišnje. Trend i zaključak o zasićenju udjela ostaju isti (provjeriti u MATLAB-u s opt.numerator = 'strict_noagri').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</si>
</sst>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10">
    <font>
      <sz val="11"/>
      <color theme="1"/>
      <name val="Calibri"/>
      <family val="2"/>
      <charset val="1"/>
    </font>
    <font>
      <b/>
      <sz val="11"/>
      <name val="Arial"/>
      <charset val="1"/>
    </font>
    <font>
      <sz val="10"/>
      <name val="Arial"/>
      <charset val="1"/>
    </font>
    <font>
      <b/>
      <sz val="10"/>
      <name val="Arial"/>
      <charset val="1"/>
    </font>
    <font>
      <sz val="9"/>
      <name val="Arial"/>
      <charset val="1"/>
    </font>
    <font>
      <i/>
      <sz val="9"/>
      <name val="Arial"/>
      <charset val="1"/>
    </font>
    <font>
      <u/>
      <sz val="10"/>
      <color rgb="FF0563C1"/>
      <name val="Arial"/>
      <charset val="1"/>
    </font>
    <font>
      <sz val="10"/>
      <name val="Noto Sans CJK SC"/>
      <family val="2"/>
    </font>
    <font>
      <sz val="10"/>
      <color rgb="FF0000FF"/>
      <name val="Arial"/>
      <charset val="1"/>
    </font>
    <font>
      <u/>
      <sz val="11"/>
      <color theme="10"/>
      <name val="Calibri"/>
      <family val="2"/>
      <charset val="1"/>
    </font>
  </fonts>
  <fills count="4">
    <fill>
      <patternFill patternType="none"/>
    </fill>
    <fill>
      <patternFill patternType="gray125"/>
    </fill>
    <fill>
      <patternFill patternType="solid">
        <fgColor rgb="FFD9E2F3"/>
        <bgColor rgb="FFCCFFFF"/>
      </patternFill>
    </fill>
    <fill>
      <patternFill patternType="solid">
        <fgColor rgb="FFFFFF00"/>
        <bgColor rgb="FFFFFF00"/>
      </patternFill>
    </fill>
  </fills>
  <borders count="2">
    <border>
      <left/>
      <right/>
      <top/>
      <bottom/>
      <diagonal/>
    </border>
    <border>
      <left/>
      <right/>
      <top/>
      <bottom style="thin">
        <color rgb="FFBFBFBF"/>
      </bottom>
      <diagonal/>
    </border>
  </borders>
  <cellStyleXfs count="2">
    <xf numFmtId="0" fontId="0" fillId="0" borderId="0"/>
    <xf numFmtId="0" fontId="9" fillId="0" borderId="0" applyNumberFormat="0" applyFill="0" applyBorder="0" applyAlignment="0" applyProtection="0"/>
  </cellStyleXfs>
  <cellXfs count="2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3" fillId="0" borderId="0" xfId="0" applyFont="1"/>
    <xf numFmtId="0" fontId="2" fillId="0" borderId="0" xfId="0" applyFont="1"/>
    <xf numFmtId="1" fontId="2" fillId="0" borderId="0" xfId="0" applyNumberFormat="1" applyFont="1"/>
    <xf numFmtId="164" fontId="2" fillId="0" borderId="0" xfId="0" applyNumberFormat="1" applyFont="1"/>
    <xf numFmtId="164" fontId="0" fillId="0" borderId="0" xfId="0" applyNumberFormat="1"/>
    <xf numFmtId="2" fontId="0" fillId="0" borderId="0" xfId="0" applyNumberFormat="1"/>
    <xf numFmtId="165" fontId="0" fillId="0" borderId="0" xfId="0" applyNumberFormat="1"/>
    <xf numFmtId="0" fontId="4" fillId="0" borderId="0" xfId="0" applyFont="1"/>
    <xf numFmtId="0" fontId="5" fillId="0" borderId="0" xfId="0" applyFont="1"/>
    <xf numFmtId="0" fontId="3" fillId="2" borderId="1" xfId="0" applyFont="1" applyFill="1" applyBorder="1" applyAlignment="1">
      <alignment vertical="center" wrapText="1"/>
    </xf>
    <xf numFmtId="0" fontId="6" fillId="0" borderId="0" xfId="0" applyFont="1" applyAlignment="1">
      <alignment vertical="top" wrapText="1"/>
    </xf>
    <xf numFmtId="0" fontId="2" fillId="3" borderId="0" xfId="0" applyFont="1" applyFill="1" applyAlignment="1">
      <alignment horizontal="center" vertical="top"/>
    </xf>
    <xf numFmtId="0" fontId="7" fillId="0" borderId="0" xfId="0" applyFont="1" applyAlignment="1">
      <alignment vertical="top" wrapText="1"/>
    </xf>
    <xf numFmtId="0" fontId="3" fillId="2" borderId="0" xfId="0" applyFont="1" applyFill="1"/>
    <xf numFmtId="0" fontId="8" fillId="0" borderId="0" xfId="0" applyFont="1"/>
    <xf numFmtId="0" fontId="9" fillId="0" borderId="0" xfId="1" applyAlignment="1">
      <alignment vertical="top" wrapText="1"/>
    </xf>
  </cellXfs>
  <cellStyles count="2">
    <cellStyle name="Hiperveza" xfId="1" builtinId="8"/>
    <cellStyle name="Normalno"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openalex.org/W2057906660" TargetMode="External"/><Relationship Id="rId21" Type="http://schemas.openxmlformats.org/officeDocument/2006/relationships/hyperlink" Target="https://openalex.org/W7106246328" TargetMode="External"/><Relationship Id="rId42" Type="http://schemas.openxmlformats.org/officeDocument/2006/relationships/hyperlink" Target="https://openalex.org/W2222754784" TargetMode="External"/><Relationship Id="rId47" Type="http://schemas.openxmlformats.org/officeDocument/2006/relationships/hyperlink" Target="https://openalex.org/W4383863871" TargetMode="External"/><Relationship Id="rId63" Type="http://schemas.openxmlformats.org/officeDocument/2006/relationships/hyperlink" Target="https://openalex.org/W3185991925" TargetMode="External"/><Relationship Id="rId68" Type="http://schemas.openxmlformats.org/officeDocument/2006/relationships/hyperlink" Target="https://openalex.org/W3154927784" TargetMode="External"/><Relationship Id="rId84" Type="http://schemas.openxmlformats.org/officeDocument/2006/relationships/hyperlink" Target="https://openalex.org/W2947572107" TargetMode="External"/><Relationship Id="rId89" Type="http://schemas.openxmlformats.org/officeDocument/2006/relationships/hyperlink" Target="https://openalex.org/W4206468308" TargetMode="External"/><Relationship Id="rId16" Type="http://schemas.openxmlformats.org/officeDocument/2006/relationships/hyperlink" Target="https://openalex.org/W4362571254" TargetMode="External"/><Relationship Id="rId11" Type="http://schemas.openxmlformats.org/officeDocument/2006/relationships/hyperlink" Target="https://openalex.org/W3138645229" TargetMode="External"/><Relationship Id="rId32" Type="http://schemas.openxmlformats.org/officeDocument/2006/relationships/hyperlink" Target="https://openalex.org/W7137536149" TargetMode="External"/><Relationship Id="rId37" Type="http://schemas.openxmlformats.org/officeDocument/2006/relationships/hyperlink" Target="https://openalex.org/W4402081459" TargetMode="External"/><Relationship Id="rId53" Type="http://schemas.openxmlformats.org/officeDocument/2006/relationships/hyperlink" Target="https://openalex.org/W4393132234" TargetMode="External"/><Relationship Id="rId58" Type="http://schemas.openxmlformats.org/officeDocument/2006/relationships/hyperlink" Target="https://openalex.org/W4403411766" TargetMode="External"/><Relationship Id="rId74" Type="http://schemas.openxmlformats.org/officeDocument/2006/relationships/hyperlink" Target="https://openalex.org/W4399540446" TargetMode="External"/><Relationship Id="rId79" Type="http://schemas.openxmlformats.org/officeDocument/2006/relationships/hyperlink" Target="https://openalex.org/W2905402823" TargetMode="External"/><Relationship Id="rId5" Type="http://schemas.openxmlformats.org/officeDocument/2006/relationships/hyperlink" Target="https://openalex.org/W4417196979" TargetMode="External"/><Relationship Id="rId90" Type="http://schemas.openxmlformats.org/officeDocument/2006/relationships/hyperlink" Target="https://openalex.org/W4387234632" TargetMode="External"/><Relationship Id="rId95" Type="http://schemas.openxmlformats.org/officeDocument/2006/relationships/hyperlink" Target="https://openalex.org/W4405730041" TargetMode="External"/><Relationship Id="rId22" Type="http://schemas.openxmlformats.org/officeDocument/2006/relationships/hyperlink" Target="https://openalex.org/W3200988226" TargetMode="External"/><Relationship Id="rId27" Type="http://schemas.openxmlformats.org/officeDocument/2006/relationships/hyperlink" Target="https://openalex.org/W4381435793" TargetMode="External"/><Relationship Id="rId43" Type="http://schemas.openxmlformats.org/officeDocument/2006/relationships/hyperlink" Target="https://openalex.org/W7166539008" TargetMode="External"/><Relationship Id="rId48" Type="http://schemas.openxmlformats.org/officeDocument/2006/relationships/hyperlink" Target="https://openalex.org/W3188337667" TargetMode="External"/><Relationship Id="rId64" Type="http://schemas.openxmlformats.org/officeDocument/2006/relationships/hyperlink" Target="https://openalex.org/W7162289624" TargetMode="External"/><Relationship Id="rId69" Type="http://schemas.openxmlformats.org/officeDocument/2006/relationships/hyperlink" Target="https://openalex.org/W3027505569" TargetMode="External"/><Relationship Id="rId80" Type="http://schemas.openxmlformats.org/officeDocument/2006/relationships/hyperlink" Target="https://openalex.org/W4410814464" TargetMode="External"/><Relationship Id="rId85" Type="http://schemas.openxmlformats.org/officeDocument/2006/relationships/hyperlink" Target="https://openalex.org/W4406398766" TargetMode="External"/><Relationship Id="rId3" Type="http://schemas.openxmlformats.org/officeDocument/2006/relationships/hyperlink" Target="https://openalex.org/W4414038221" TargetMode="External"/><Relationship Id="rId12" Type="http://schemas.openxmlformats.org/officeDocument/2006/relationships/hyperlink" Target="https://openalex.org/W4405388873" TargetMode="External"/><Relationship Id="rId17" Type="http://schemas.openxmlformats.org/officeDocument/2006/relationships/hyperlink" Target="https://openalex.org/W4401894579" TargetMode="External"/><Relationship Id="rId25" Type="http://schemas.openxmlformats.org/officeDocument/2006/relationships/hyperlink" Target="https://openalex.org/W4308118183" TargetMode="External"/><Relationship Id="rId33" Type="http://schemas.openxmlformats.org/officeDocument/2006/relationships/hyperlink" Target="https://openalex.org/W4387845585" TargetMode="External"/><Relationship Id="rId38" Type="http://schemas.openxmlformats.org/officeDocument/2006/relationships/hyperlink" Target="https://openalex.org/W4409994142" TargetMode="External"/><Relationship Id="rId46" Type="http://schemas.openxmlformats.org/officeDocument/2006/relationships/hyperlink" Target="https://openalex.org/W4414883922" TargetMode="External"/><Relationship Id="rId59" Type="http://schemas.openxmlformats.org/officeDocument/2006/relationships/hyperlink" Target="https://openalex.org/W4406457581" TargetMode="External"/><Relationship Id="rId67" Type="http://schemas.openxmlformats.org/officeDocument/2006/relationships/hyperlink" Target="https://openalex.org/W4362671667" TargetMode="External"/><Relationship Id="rId20" Type="http://schemas.openxmlformats.org/officeDocument/2006/relationships/hyperlink" Target="https://openalex.org/W4392500562" TargetMode="External"/><Relationship Id="rId41" Type="http://schemas.openxmlformats.org/officeDocument/2006/relationships/hyperlink" Target="https://openalex.org/W4394960550" TargetMode="External"/><Relationship Id="rId54" Type="http://schemas.openxmlformats.org/officeDocument/2006/relationships/hyperlink" Target="https://openalex.org/W4415653642" TargetMode="External"/><Relationship Id="rId62" Type="http://schemas.openxmlformats.org/officeDocument/2006/relationships/hyperlink" Target="https://openalex.org/W4400466935" TargetMode="External"/><Relationship Id="rId70" Type="http://schemas.openxmlformats.org/officeDocument/2006/relationships/hyperlink" Target="https://openalex.org/W4409705460" TargetMode="External"/><Relationship Id="rId75" Type="http://schemas.openxmlformats.org/officeDocument/2006/relationships/hyperlink" Target="https://openalex.org/W3201403862" TargetMode="External"/><Relationship Id="rId83" Type="http://schemas.openxmlformats.org/officeDocument/2006/relationships/hyperlink" Target="https://openalex.org/W2552574646" TargetMode="External"/><Relationship Id="rId88" Type="http://schemas.openxmlformats.org/officeDocument/2006/relationships/hyperlink" Target="https://openalex.org/W4391714923" TargetMode="External"/><Relationship Id="rId91" Type="http://schemas.openxmlformats.org/officeDocument/2006/relationships/hyperlink" Target="https://openalex.org/W2791679594" TargetMode="External"/><Relationship Id="rId96" Type="http://schemas.openxmlformats.org/officeDocument/2006/relationships/hyperlink" Target="https://openalex.org/W4366742466" TargetMode="External"/><Relationship Id="rId1" Type="http://schemas.openxmlformats.org/officeDocument/2006/relationships/hyperlink" Target="https://openalex.org/W4324088175" TargetMode="External"/><Relationship Id="rId6" Type="http://schemas.openxmlformats.org/officeDocument/2006/relationships/hyperlink" Target="https://openalex.org/W4293531406" TargetMode="External"/><Relationship Id="rId15" Type="http://schemas.openxmlformats.org/officeDocument/2006/relationships/hyperlink" Target="https://openalex.org/W3158257030" TargetMode="External"/><Relationship Id="rId23" Type="http://schemas.openxmlformats.org/officeDocument/2006/relationships/hyperlink" Target="https://openalex.org/W3049163417" TargetMode="External"/><Relationship Id="rId28" Type="http://schemas.openxmlformats.org/officeDocument/2006/relationships/hyperlink" Target="https://openalex.org/W7155285149" TargetMode="External"/><Relationship Id="rId36" Type="http://schemas.openxmlformats.org/officeDocument/2006/relationships/hyperlink" Target="https://openalex.org/W2898544168" TargetMode="External"/><Relationship Id="rId49" Type="http://schemas.openxmlformats.org/officeDocument/2006/relationships/hyperlink" Target="https://openalex.org/W4413773129" TargetMode="External"/><Relationship Id="rId57" Type="http://schemas.openxmlformats.org/officeDocument/2006/relationships/hyperlink" Target="https://openalex.org/W3099352527" TargetMode="External"/><Relationship Id="rId10" Type="http://schemas.openxmlformats.org/officeDocument/2006/relationships/hyperlink" Target="https://openalex.org/W4401206527" TargetMode="External"/><Relationship Id="rId31" Type="http://schemas.openxmlformats.org/officeDocument/2006/relationships/hyperlink" Target="https://openalex.org/W3119555133" TargetMode="External"/><Relationship Id="rId44" Type="http://schemas.openxmlformats.org/officeDocument/2006/relationships/hyperlink" Target="https://openalex.org/W4386966520" TargetMode="External"/><Relationship Id="rId52" Type="http://schemas.openxmlformats.org/officeDocument/2006/relationships/hyperlink" Target="https://openalex.org/W3020319779" TargetMode="External"/><Relationship Id="rId60" Type="http://schemas.openxmlformats.org/officeDocument/2006/relationships/hyperlink" Target="https://openalex.org/W4390202040" TargetMode="External"/><Relationship Id="rId65" Type="http://schemas.openxmlformats.org/officeDocument/2006/relationships/hyperlink" Target="https://openalex.org/W3109768354" TargetMode="External"/><Relationship Id="rId73" Type="http://schemas.openxmlformats.org/officeDocument/2006/relationships/hyperlink" Target="https://openalex.org/W7107866176" TargetMode="External"/><Relationship Id="rId78" Type="http://schemas.openxmlformats.org/officeDocument/2006/relationships/hyperlink" Target="https://openalex.org/W2998236111" TargetMode="External"/><Relationship Id="rId81" Type="http://schemas.openxmlformats.org/officeDocument/2006/relationships/hyperlink" Target="https://openalex.org/W3017100647" TargetMode="External"/><Relationship Id="rId86" Type="http://schemas.openxmlformats.org/officeDocument/2006/relationships/hyperlink" Target="https://openalex.org/W3033669335" TargetMode="External"/><Relationship Id="rId94" Type="http://schemas.openxmlformats.org/officeDocument/2006/relationships/hyperlink" Target="https://openalex.org/W4386625229" TargetMode="External"/><Relationship Id="rId99" Type="http://schemas.openxmlformats.org/officeDocument/2006/relationships/hyperlink" Target="https://openalex.org/W7144515362" TargetMode="External"/><Relationship Id="rId4" Type="http://schemas.openxmlformats.org/officeDocument/2006/relationships/hyperlink" Target="https://openalex.org/W2892110396" TargetMode="External"/><Relationship Id="rId9" Type="http://schemas.openxmlformats.org/officeDocument/2006/relationships/hyperlink" Target="https://openalex.org/W4407704902" TargetMode="External"/><Relationship Id="rId13" Type="http://schemas.openxmlformats.org/officeDocument/2006/relationships/hyperlink" Target="https://openalex.org/W3015499049" TargetMode="External"/><Relationship Id="rId18" Type="http://schemas.openxmlformats.org/officeDocument/2006/relationships/hyperlink" Target="https://openalex.org/W3157060625" TargetMode="External"/><Relationship Id="rId39" Type="http://schemas.openxmlformats.org/officeDocument/2006/relationships/hyperlink" Target="https://openalex.org/W7117460984" TargetMode="External"/><Relationship Id="rId34" Type="http://schemas.openxmlformats.org/officeDocument/2006/relationships/hyperlink" Target="https://openalex.org/W4400416837" TargetMode="External"/><Relationship Id="rId50" Type="http://schemas.openxmlformats.org/officeDocument/2006/relationships/hyperlink" Target="https://openalex.org/W4412282790" TargetMode="External"/><Relationship Id="rId55" Type="http://schemas.openxmlformats.org/officeDocument/2006/relationships/hyperlink" Target="https://openalex.org/W2184116797" TargetMode="External"/><Relationship Id="rId76" Type="http://schemas.openxmlformats.org/officeDocument/2006/relationships/hyperlink" Target="https://openalex.org/W3047190055" TargetMode="External"/><Relationship Id="rId97" Type="http://schemas.openxmlformats.org/officeDocument/2006/relationships/hyperlink" Target="https://openalex.org/W2972195133" TargetMode="External"/><Relationship Id="rId7" Type="http://schemas.openxmlformats.org/officeDocument/2006/relationships/hyperlink" Target="https://openalex.org/W3088000011" TargetMode="External"/><Relationship Id="rId71" Type="http://schemas.openxmlformats.org/officeDocument/2006/relationships/hyperlink" Target="https://openalex.org/W2567061793" TargetMode="External"/><Relationship Id="rId92" Type="http://schemas.openxmlformats.org/officeDocument/2006/relationships/hyperlink" Target="https://openalex.org/W4363647848" TargetMode="External"/><Relationship Id="rId2" Type="http://schemas.openxmlformats.org/officeDocument/2006/relationships/hyperlink" Target="https://openalex.org/W4408194576" TargetMode="External"/><Relationship Id="rId29" Type="http://schemas.openxmlformats.org/officeDocument/2006/relationships/hyperlink" Target="https://openalex.org/W7117579206" TargetMode="External"/><Relationship Id="rId24" Type="http://schemas.openxmlformats.org/officeDocument/2006/relationships/hyperlink" Target="https://openalex.org/W2963771652" TargetMode="External"/><Relationship Id="rId40" Type="http://schemas.openxmlformats.org/officeDocument/2006/relationships/hyperlink" Target="https://openalex.org/W2222420283" TargetMode="External"/><Relationship Id="rId45" Type="http://schemas.openxmlformats.org/officeDocument/2006/relationships/hyperlink" Target="https://openalex.org/W4415811117" TargetMode="External"/><Relationship Id="rId66" Type="http://schemas.openxmlformats.org/officeDocument/2006/relationships/hyperlink" Target="https://openalex.org/W4380051706" TargetMode="External"/><Relationship Id="rId87" Type="http://schemas.openxmlformats.org/officeDocument/2006/relationships/hyperlink" Target="https://openalex.org/W4405220677" TargetMode="External"/><Relationship Id="rId61" Type="http://schemas.openxmlformats.org/officeDocument/2006/relationships/hyperlink" Target="https://openalex.org/W4406930131" TargetMode="External"/><Relationship Id="rId82" Type="http://schemas.openxmlformats.org/officeDocument/2006/relationships/hyperlink" Target="https://openalex.org/W2970191788" TargetMode="External"/><Relationship Id="rId19" Type="http://schemas.openxmlformats.org/officeDocument/2006/relationships/hyperlink" Target="https://openalex.org/W4405805956" TargetMode="External"/><Relationship Id="rId14" Type="http://schemas.openxmlformats.org/officeDocument/2006/relationships/hyperlink" Target="https://openalex.org/W4409261290" TargetMode="External"/><Relationship Id="rId30" Type="http://schemas.openxmlformats.org/officeDocument/2006/relationships/hyperlink" Target="https://openalex.org/W4412640527" TargetMode="External"/><Relationship Id="rId35" Type="http://schemas.openxmlformats.org/officeDocument/2006/relationships/hyperlink" Target="https://openalex.org/W7199743103" TargetMode="External"/><Relationship Id="rId56" Type="http://schemas.openxmlformats.org/officeDocument/2006/relationships/hyperlink" Target="https://openalex.org/W4407193830" TargetMode="External"/><Relationship Id="rId77" Type="http://schemas.openxmlformats.org/officeDocument/2006/relationships/hyperlink" Target="https://openalex.org/W4360997749" TargetMode="External"/><Relationship Id="rId100" Type="http://schemas.openxmlformats.org/officeDocument/2006/relationships/hyperlink" Target="https://openalex.org/W4399494733" TargetMode="External"/><Relationship Id="rId8" Type="http://schemas.openxmlformats.org/officeDocument/2006/relationships/hyperlink" Target="https://openalex.org/W3021841073" TargetMode="External"/><Relationship Id="rId51" Type="http://schemas.openxmlformats.org/officeDocument/2006/relationships/hyperlink" Target="https://openalex.org/W4408073201" TargetMode="External"/><Relationship Id="rId72" Type="http://schemas.openxmlformats.org/officeDocument/2006/relationships/hyperlink" Target="https://openalex.org/W4317422903" TargetMode="External"/><Relationship Id="rId93" Type="http://schemas.openxmlformats.org/officeDocument/2006/relationships/hyperlink" Target="https://openalex.org/W4402279098" TargetMode="External"/><Relationship Id="rId98" Type="http://schemas.openxmlformats.org/officeDocument/2006/relationships/hyperlink" Target="https://openalex.org/W289889026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openalex.org/W2608167233" TargetMode="External"/><Relationship Id="rId18" Type="http://schemas.openxmlformats.org/officeDocument/2006/relationships/hyperlink" Target="https://openalex.org/W2496601862" TargetMode="External"/><Relationship Id="rId26" Type="http://schemas.openxmlformats.org/officeDocument/2006/relationships/hyperlink" Target="https://openalex.org/W1956094000" TargetMode="External"/><Relationship Id="rId39" Type="http://schemas.openxmlformats.org/officeDocument/2006/relationships/hyperlink" Target="https://openalex.org/W292798094" TargetMode="External"/><Relationship Id="rId21" Type="http://schemas.openxmlformats.org/officeDocument/2006/relationships/hyperlink" Target="https://openalex.org/W2052466191" TargetMode="External"/><Relationship Id="rId34" Type="http://schemas.openxmlformats.org/officeDocument/2006/relationships/hyperlink" Target="https://openalex.org/W3179232040" TargetMode="External"/><Relationship Id="rId42" Type="http://schemas.openxmlformats.org/officeDocument/2006/relationships/hyperlink" Target="https://openalex.org/W2597748452" TargetMode="External"/><Relationship Id="rId47" Type="http://schemas.openxmlformats.org/officeDocument/2006/relationships/hyperlink" Target="https://openalex.org/W7139151544" TargetMode="External"/><Relationship Id="rId50" Type="http://schemas.openxmlformats.org/officeDocument/2006/relationships/hyperlink" Target="https://openalex.org/W2467989596" TargetMode="External"/><Relationship Id="rId7" Type="http://schemas.openxmlformats.org/officeDocument/2006/relationships/hyperlink" Target="https://openalex.org/W2142087338" TargetMode="External"/><Relationship Id="rId2" Type="http://schemas.openxmlformats.org/officeDocument/2006/relationships/hyperlink" Target="https://openalex.org/W1986490556" TargetMode="External"/><Relationship Id="rId16" Type="http://schemas.openxmlformats.org/officeDocument/2006/relationships/hyperlink" Target="https://openalex.org/W2196131291" TargetMode="External"/><Relationship Id="rId29" Type="http://schemas.openxmlformats.org/officeDocument/2006/relationships/hyperlink" Target="https://openalex.org/W1033501934" TargetMode="External"/><Relationship Id="rId11" Type="http://schemas.openxmlformats.org/officeDocument/2006/relationships/hyperlink" Target="https://openalex.org/W2354417035" TargetMode="External"/><Relationship Id="rId24" Type="http://schemas.openxmlformats.org/officeDocument/2006/relationships/hyperlink" Target="https://openalex.org/W1763529565" TargetMode="External"/><Relationship Id="rId32" Type="http://schemas.openxmlformats.org/officeDocument/2006/relationships/hyperlink" Target="https://openalex.org/W2135362361" TargetMode="External"/><Relationship Id="rId37" Type="http://schemas.openxmlformats.org/officeDocument/2006/relationships/hyperlink" Target="https://openalex.org/W339750658" TargetMode="External"/><Relationship Id="rId40" Type="http://schemas.openxmlformats.org/officeDocument/2006/relationships/hyperlink" Target="https://openalex.org/W4251900152" TargetMode="External"/><Relationship Id="rId45" Type="http://schemas.openxmlformats.org/officeDocument/2006/relationships/hyperlink" Target="https://openalex.org/W2389498532" TargetMode="External"/><Relationship Id="rId5" Type="http://schemas.openxmlformats.org/officeDocument/2006/relationships/hyperlink" Target="https://openalex.org/W2121895676" TargetMode="External"/><Relationship Id="rId15" Type="http://schemas.openxmlformats.org/officeDocument/2006/relationships/hyperlink" Target="https://openalex.org/W4387391007" TargetMode="External"/><Relationship Id="rId23" Type="http://schemas.openxmlformats.org/officeDocument/2006/relationships/hyperlink" Target="https://openalex.org/W1999949151" TargetMode="External"/><Relationship Id="rId28" Type="http://schemas.openxmlformats.org/officeDocument/2006/relationships/hyperlink" Target="https://openalex.org/W2624798775" TargetMode="External"/><Relationship Id="rId36" Type="http://schemas.openxmlformats.org/officeDocument/2006/relationships/hyperlink" Target="https://openalex.org/W2944501415" TargetMode="External"/><Relationship Id="rId49" Type="http://schemas.openxmlformats.org/officeDocument/2006/relationships/hyperlink" Target="https://openalex.org/W2029059986" TargetMode="External"/><Relationship Id="rId10" Type="http://schemas.openxmlformats.org/officeDocument/2006/relationships/hyperlink" Target="https://openalex.org/W2130287418" TargetMode="External"/><Relationship Id="rId19" Type="http://schemas.openxmlformats.org/officeDocument/2006/relationships/hyperlink" Target="https://openalex.org/W2274694356" TargetMode="External"/><Relationship Id="rId31" Type="http://schemas.openxmlformats.org/officeDocument/2006/relationships/hyperlink" Target="https://openalex.org/W2204050869" TargetMode="External"/><Relationship Id="rId44" Type="http://schemas.openxmlformats.org/officeDocument/2006/relationships/hyperlink" Target="https://openalex.org/W4206478398" TargetMode="External"/><Relationship Id="rId4" Type="http://schemas.openxmlformats.org/officeDocument/2006/relationships/hyperlink" Target="https://openalex.org/W3142025330" TargetMode="External"/><Relationship Id="rId9" Type="http://schemas.openxmlformats.org/officeDocument/2006/relationships/hyperlink" Target="https://openalex.org/W1692243462" TargetMode="External"/><Relationship Id="rId14" Type="http://schemas.openxmlformats.org/officeDocument/2006/relationships/hyperlink" Target="https://openalex.org/W92203316" TargetMode="External"/><Relationship Id="rId22" Type="http://schemas.openxmlformats.org/officeDocument/2006/relationships/hyperlink" Target="https://openalex.org/W2416225139" TargetMode="External"/><Relationship Id="rId27" Type="http://schemas.openxmlformats.org/officeDocument/2006/relationships/hyperlink" Target="https://openalex.org/W210113691" TargetMode="External"/><Relationship Id="rId30" Type="http://schemas.openxmlformats.org/officeDocument/2006/relationships/hyperlink" Target="https://openalex.org/W1887247996" TargetMode="External"/><Relationship Id="rId35" Type="http://schemas.openxmlformats.org/officeDocument/2006/relationships/hyperlink" Target="https://openalex.org/W3150939766" TargetMode="External"/><Relationship Id="rId43" Type="http://schemas.openxmlformats.org/officeDocument/2006/relationships/hyperlink" Target="https://openalex.org/W2381572317" TargetMode="External"/><Relationship Id="rId48" Type="http://schemas.openxmlformats.org/officeDocument/2006/relationships/hyperlink" Target="https://openalex.org/W1984289423" TargetMode="External"/><Relationship Id="rId8" Type="http://schemas.openxmlformats.org/officeDocument/2006/relationships/hyperlink" Target="https://openalex.org/W1892206252" TargetMode="External"/><Relationship Id="rId3" Type="http://schemas.openxmlformats.org/officeDocument/2006/relationships/hyperlink" Target="https://openalex.org/W2111664716" TargetMode="External"/><Relationship Id="rId12" Type="http://schemas.openxmlformats.org/officeDocument/2006/relationships/hyperlink" Target="https://openalex.org/W2192551928" TargetMode="External"/><Relationship Id="rId17" Type="http://schemas.openxmlformats.org/officeDocument/2006/relationships/hyperlink" Target="https://openalex.org/W2519492495" TargetMode="External"/><Relationship Id="rId25" Type="http://schemas.openxmlformats.org/officeDocument/2006/relationships/hyperlink" Target="https://openalex.org/W2133125644" TargetMode="External"/><Relationship Id="rId33" Type="http://schemas.openxmlformats.org/officeDocument/2006/relationships/hyperlink" Target="https://openalex.org/W1522525389" TargetMode="External"/><Relationship Id="rId38" Type="http://schemas.openxmlformats.org/officeDocument/2006/relationships/hyperlink" Target="https://openalex.org/W2151499786" TargetMode="External"/><Relationship Id="rId46" Type="http://schemas.openxmlformats.org/officeDocument/2006/relationships/hyperlink" Target="https://openalex.org/W1920083332" TargetMode="External"/><Relationship Id="rId20" Type="http://schemas.openxmlformats.org/officeDocument/2006/relationships/hyperlink" Target="https://openalex.org/W2111621334" TargetMode="External"/><Relationship Id="rId41" Type="http://schemas.openxmlformats.org/officeDocument/2006/relationships/hyperlink" Target="https://openalex.org/W2254251245" TargetMode="External"/><Relationship Id="rId1" Type="http://schemas.openxmlformats.org/officeDocument/2006/relationships/hyperlink" Target="https://openalex.org/W1902224079" TargetMode="External"/><Relationship Id="rId6" Type="http://schemas.openxmlformats.org/officeDocument/2006/relationships/hyperlink" Target="https://openalex.org/W20112708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zoomScaleNormal="100" workbookViewId="0"/>
  </sheetViews>
  <sheetFormatPr defaultColWidth="8.7109375" defaultRowHeight="15"/>
  <cols>
    <col min="1" max="1" width="150" customWidth="1"/>
  </cols>
  <sheetData>
    <row r="1" spans="1:1">
      <c r="A1" s="1" t="s">
        <v>0</v>
      </c>
    </row>
    <row r="2" spans="1:1">
      <c r="A2" s="2"/>
    </row>
    <row r="3" spans="1:1">
      <c r="A3" s="2" t="s">
        <v>1</v>
      </c>
    </row>
    <row r="4" spans="1:1" ht="25.5">
      <c r="A4" s="2" t="s">
        <v>2</v>
      </c>
    </row>
    <row r="5" spans="1:1" ht="25.5">
      <c r="A5" s="2" t="s">
        <v>3</v>
      </c>
    </row>
    <row r="6" spans="1:1" ht="25.5">
      <c r="A6" s="2" t="s">
        <v>4</v>
      </c>
    </row>
    <row r="7" spans="1:1">
      <c r="A7" s="2"/>
    </row>
    <row r="8" spans="1:1" ht="25.5">
      <c r="A8" s="2" t="s">
        <v>5</v>
      </c>
    </row>
    <row r="9" spans="1:1">
      <c r="A9" s="2"/>
    </row>
    <row r="10" spans="1:1" ht="25.5">
      <c r="A10" s="2" t="s">
        <v>6</v>
      </c>
    </row>
    <row r="11" spans="1:1">
      <c r="A11" s="2"/>
    </row>
    <row r="12" spans="1:1" ht="25.5">
      <c r="A12" s="2" t="s">
        <v>7</v>
      </c>
    </row>
    <row r="13" spans="1:1">
      <c r="A13" s="2"/>
    </row>
    <row r="14" spans="1:1">
      <c r="A14" s="2" t="s">
        <v>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zoomScaleNormal="100" workbookViewId="0"/>
  </sheetViews>
  <sheetFormatPr defaultColWidth="8.7109375" defaultRowHeight="15"/>
  <cols>
    <col min="1" max="1" width="62" customWidth="1"/>
    <col min="2" max="2" width="14" customWidth="1"/>
  </cols>
  <sheetData>
    <row r="1" spans="1:2">
      <c r="A1" s="3" t="s">
        <v>9</v>
      </c>
    </row>
    <row r="3" spans="1:2">
      <c r="A3" s="4" t="s">
        <v>10</v>
      </c>
    </row>
    <row r="4" spans="1:2">
      <c r="A4" s="5" t="s">
        <v>11</v>
      </c>
      <c r="B4" s="6">
        <f>COUNTIF(Uzorak_100!$L$5:$L$104,"A")+COUNTIF(Uzorak_100!$L$5:$L$104,"B")+COUNTIF(Uzorak_100!$L$5:$L$104,"C")</f>
        <v>100</v>
      </c>
    </row>
    <row r="5" spans="1:2">
      <c r="A5" s="5" t="s">
        <v>12</v>
      </c>
      <c r="B5" s="6">
        <f>COUNTIF(Uzorak_100!$L$5:$L$104,"A")</f>
        <v>42</v>
      </c>
    </row>
    <row r="6" spans="1:2">
      <c r="A6" s="5" t="s">
        <v>13</v>
      </c>
      <c r="B6" s="6">
        <f>COUNTIF(Uzorak_100!$L$5:$L$104,"B")</f>
        <v>38</v>
      </c>
    </row>
    <row r="7" spans="1:2">
      <c r="A7" s="5" t="s">
        <v>14</v>
      </c>
      <c r="B7" s="6">
        <f>COUNTIF(Uzorak_100!$L$5:$L$104,"C")</f>
        <v>20</v>
      </c>
    </row>
    <row r="8" spans="1:2">
      <c r="A8" s="5" t="s">
        <v>15</v>
      </c>
      <c r="B8" s="7">
        <f>IF(B4&gt;0,B5/B4,"")</f>
        <v>0.42</v>
      </c>
    </row>
    <row r="9" spans="1:2">
      <c r="A9" s="5" t="s">
        <v>16</v>
      </c>
      <c r="B9" s="7">
        <f>IF(B4&gt;0,(B5+B6)/B4,"")</f>
        <v>0.8</v>
      </c>
    </row>
    <row r="10" spans="1:2">
      <c r="A10" s="5" t="s">
        <v>17</v>
      </c>
      <c r="B10" s="7">
        <f>IF(B4&gt;0,((B8+1.96^2/(2*B4))-1.96*SQRT(B8*(1-B8)/B4+1.96^2/(4*B4^2)))/(1+1.96^2/B4),"")</f>
        <v>0.32798224918511298</v>
      </c>
    </row>
    <row r="11" spans="1:2">
      <c r="A11" s="5" t="s">
        <v>18</v>
      </c>
      <c r="B11" s="7">
        <f>IF(B4&gt;0,((B8+1.96^2/(2*B4))+1.96*SQRT(B8*(1-B8)/B4+1.96^2/(4*B4^2)))/(1+1.96^2/B4),"")</f>
        <v>0.51793692001104719</v>
      </c>
    </row>
    <row r="12" spans="1:2">
      <c r="A12" s="5" t="s">
        <v>19</v>
      </c>
      <c r="B12" s="7">
        <f>IF(B4&gt;0,((B9+1.96^2/(2*B4))-1.96*SQRT(B9*(1-B9)/B4+1.96^2/(4*B4^2)))/(1+1.96^2/B4),"")</f>
        <v>0.71116903807349763</v>
      </c>
    </row>
    <row r="13" spans="1:2">
      <c r="A13" s="5" t="s">
        <v>20</v>
      </c>
      <c r="B13" s="7">
        <f>IF(B4&gt;0,((B9+1.96^2/(2*B4))+1.96*SQRT(B9*(1-B9)/B4+1.96^2/(4*B4^2)))/(1+1.96^2/B4),"")</f>
        <v>0.86663407744090126</v>
      </c>
    </row>
    <row r="15" spans="1:2">
      <c r="A15" s="4" t="s">
        <v>21</v>
      </c>
    </row>
    <row r="16" spans="1:2">
      <c r="A16" s="5" t="s">
        <v>11</v>
      </c>
      <c r="B16" s="6">
        <f>COUNTIF(Uzorak_50_rano!$L$5:$L$54,"A")+COUNTIF(Uzorak_50_rano!$L$5:$L$54,"B")+COUNTIF(Uzorak_50_rano!$L$5:$L$54,"C")</f>
        <v>50</v>
      </c>
    </row>
    <row r="17" spans="1:2">
      <c r="A17" s="5" t="s">
        <v>12</v>
      </c>
      <c r="B17" s="6">
        <f>COUNTIF(Uzorak_50_rano!$L$5:$L$54,"A")</f>
        <v>27</v>
      </c>
    </row>
    <row r="18" spans="1:2">
      <c r="A18" s="5" t="s">
        <v>13</v>
      </c>
      <c r="B18" s="6">
        <f>COUNTIF(Uzorak_50_rano!$L$5:$L$54,"B")</f>
        <v>8</v>
      </c>
    </row>
    <row r="19" spans="1:2">
      <c r="A19" s="5" t="s">
        <v>14</v>
      </c>
      <c r="B19" s="6">
        <f>COUNTIF(Uzorak_50_rano!$L$5:$L$54,"C")</f>
        <v>15</v>
      </c>
    </row>
    <row r="20" spans="1:2">
      <c r="A20" s="5" t="s">
        <v>15</v>
      </c>
      <c r="B20" s="7">
        <f>IF(B16&gt;0,B17/B16,"")</f>
        <v>0.54</v>
      </c>
    </row>
    <row r="21" spans="1:2">
      <c r="A21" s="5" t="s">
        <v>16</v>
      </c>
      <c r="B21" s="7">
        <f>IF(B16&gt;0,(B17+B18)/B16,"")</f>
        <v>0.7</v>
      </c>
    </row>
    <row r="22" spans="1:2">
      <c r="A22" s="5" t="s">
        <v>17</v>
      </c>
      <c r="B22" s="7">
        <f>IF(B16&gt;0,((B20+1.96^2/(2*B16))-1.96*SQRT(B20*(1-B20)/B16+1.96^2/(4*B16^2)))/(1+1.96^2/B16),"")</f>
        <v>0.40398634328388083</v>
      </c>
    </row>
    <row r="23" spans="1:2">
      <c r="A23" s="5" t="s">
        <v>18</v>
      </c>
      <c r="B23" s="7">
        <f>IF(B16&gt;0,((B20+1.96^2/(2*B16))+1.96*SQRT(B20*(1-B20)/B16+1.96^2/(4*B16^2)))/(1+1.96^2/B16),"")</f>
        <v>0.67030565398217368</v>
      </c>
    </row>
    <row r="24" spans="1:2">
      <c r="A24" s="5" t="s">
        <v>19</v>
      </c>
      <c r="B24" s="7">
        <f>IF(B16&gt;0,((B21+1.96^2/(2*B16))-1.96*SQRT(B21*(1-B21)/B16+1.96^2/(4*B16^2)))/(1+1.96^2/B16),"")</f>
        <v>0.56249387722636601</v>
      </c>
    </row>
    <row r="25" spans="1:2">
      <c r="A25" s="5" t="s">
        <v>20</v>
      </c>
      <c r="B25" s="7">
        <f>IF(B16&gt;0,((B21+1.96^2/(2*B16))+1.96*SQRT(B21*(1-B21)/B16+1.96^2/(4*B16^2)))/(1+1.96^2/B16),"")</f>
        <v>0.80896610910390632</v>
      </c>
    </row>
    <row r="27" spans="1:2">
      <c r="A27" s="4" t="s">
        <v>22</v>
      </c>
    </row>
    <row r="28" spans="1:2">
      <c r="A28" s="5" t="s">
        <v>23</v>
      </c>
      <c r="B28" s="8">
        <f>B20-B8</f>
        <v>0.12000000000000005</v>
      </c>
    </row>
    <row r="29" spans="1:2">
      <c r="A29" s="5" t="s">
        <v>24</v>
      </c>
      <c r="B29" s="9">
        <f>IF(AND(B4&gt;0,B16&gt;0),(B20-B8)/SQRT(((B5+B17)/(B4+B16))*(1-(B5+B17)/(B4+B16))*(1/B4+1/B16)),"")</f>
        <v>1.3900960937138322</v>
      </c>
    </row>
    <row r="30" spans="1:2">
      <c r="A30" s="5" t="s">
        <v>25</v>
      </c>
      <c r="B30" s="10">
        <f>IF(B29="","",2*(1-NORMSDIST(ABS(B29))))</f>
        <v>0.16449969933310893</v>
      </c>
    </row>
    <row r="31" spans="1:2">
      <c r="A31" s="11" t="s">
        <v>26</v>
      </c>
    </row>
    <row r="33" spans="1:1">
      <c r="A33" s="11" t="s">
        <v>27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
  <sheetViews>
    <sheetView tabSelected="1" zoomScaleNormal="100" workbookViewId="0">
      <pane xSplit="3" ySplit="4" topLeftCell="D69" activePane="bottomRight" state="frozen"/>
      <selection pane="topRight" activeCell="D1" sqref="D1"/>
      <selection pane="bottomLeft" activeCell="A5" sqref="A5"/>
      <selection pane="bottomRight" activeCell="F92" activeCellId="1" sqref="A1 F92"/>
    </sheetView>
  </sheetViews>
  <sheetFormatPr defaultColWidth="8.7109375" defaultRowHeight="15"/>
  <cols>
    <col min="1" max="1" width="4" customWidth="1"/>
    <col min="2" max="2" width="7" customWidth="1"/>
    <col min="3" max="3" width="40" customWidth="1"/>
    <col min="4" max="5" width="22" customWidth="1"/>
    <col min="6" max="6" width="26" customWidth="1"/>
    <col min="7" max="7" width="20" customWidth="1"/>
    <col min="8" max="8" width="14" customWidth="1"/>
    <col min="9" max="9" width="70" customWidth="1"/>
    <col min="10" max="10" width="9" customWidth="1"/>
    <col min="11" max="11" width="34" customWidth="1"/>
    <col min="12" max="12" width="11" customWidth="1"/>
    <col min="13" max="13" width="26" customWidth="1"/>
  </cols>
  <sheetData>
    <row r="1" spans="1:13">
      <c r="A1" s="3" t="s">
        <v>28</v>
      </c>
    </row>
    <row r="2" spans="1:13">
      <c r="A2" s="12" t="s">
        <v>29</v>
      </c>
    </row>
    <row r="4" spans="1:13" ht="25.5">
      <c r="A4" s="13" t="s">
        <v>30</v>
      </c>
      <c r="B4" s="13" t="s">
        <v>31</v>
      </c>
      <c r="C4" s="13" t="s">
        <v>32</v>
      </c>
      <c r="D4" s="13" t="s">
        <v>33</v>
      </c>
      <c r="E4" s="13" t="s">
        <v>34</v>
      </c>
      <c r="F4" s="13" t="s">
        <v>35</v>
      </c>
      <c r="G4" s="13" t="s">
        <v>36</v>
      </c>
      <c r="H4" s="13" t="s">
        <v>37</v>
      </c>
      <c r="I4" s="13" t="s">
        <v>38</v>
      </c>
      <c r="J4" s="13" t="s">
        <v>39</v>
      </c>
      <c r="K4" s="13" t="s">
        <v>40</v>
      </c>
      <c r="L4" s="13" t="s">
        <v>41</v>
      </c>
      <c r="M4" s="13" t="s">
        <v>42</v>
      </c>
    </row>
    <row r="5" spans="1:13" ht="75" customHeight="1">
      <c r="A5" s="2">
        <v>1</v>
      </c>
      <c r="B5" s="2">
        <v>2023</v>
      </c>
      <c r="C5" s="2" t="s">
        <v>43</v>
      </c>
      <c r="D5" s="2" t="s">
        <v>44</v>
      </c>
      <c r="E5" s="2" t="s">
        <v>45</v>
      </c>
      <c r="F5" s="14" t="s">
        <v>46</v>
      </c>
      <c r="G5" s="2" t="s">
        <v>47</v>
      </c>
      <c r="H5" s="2" t="s">
        <v>48</v>
      </c>
      <c r="I5" s="2" t="s">
        <v>49</v>
      </c>
      <c r="J5" s="2" t="s">
        <v>50</v>
      </c>
      <c r="K5" s="2" t="s">
        <v>51</v>
      </c>
      <c r="L5" s="15" t="s">
        <v>50</v>
      </c>
      <c r="M5" s="2"/>
    </row>
    <row r="6" spans="1:13" ht="75" customHeight="1">
      <c r="A6" s="2">
        <v>2</v>
      </c>
      <c r="B6" s="2">
        <v>2025</v>
      </c>
      <c r="C6" s="2" t="s">
        <v>52</v>
      </c>
      <c r="D6" s="2" t="s">
        <v>53</v>
      </c>
      <c r="E6" s="2" t="s">
        <v>54</v>
      </c>
      <c r="F6" s="14" t="s">
        <v>55</v>
      </c>
      <c r="G6" s="2" t="s">
        <v>56</v>
      </c>
      <c r="H6" s="2" t="s">
        <v>57</v>
      </c>
      <c r="I6" s="2" t="s">
        <v>58</v>
      </c>
      <c r="J6" s="2" t="s">
        <v>59</v>
      </c>
      <c r="K6" s="2" t="s">
        <v>60</v>
      </c>
      <c r="L6" s="15" t="s">
        <v>59</v>
      </c>
      <c r="M6" s="2"/>
    </row>
    <row r="7" spans="1:13" ht="75" customHeight="1">
      <c r="A7" s="2">
        <v>3</v>
      </c>
      <c r="B7" s="2">
        <v>2025</v>
      </c>
      <c r="C7" s="2" t="s">
        <v>61</v>
      </c>
      <c r="D7" s="2" t="s">
        <v>62</v>
      </c>
      <c r="E7" s="2" t="s">
        <v>63</v>
      </c>
      <c r="F7" s="14" t="s">
        <v>64</v>
      </c>
      <c r="G7" s="2" t="s">
        <v>65</v>
      </c>
      <c r="H7" s="2" t="s">
        <v>57</v>
      </c>
      <c r="I7" s="2" t="s">
        <v>66</v>
      </c>
      <c r="J7" s="2" t="s">
        <v>59</v>
      </c>
      <c r="K7" s="2" t="s">
        <v>67</v>
      </c>
      <c r="L7" s="15" t="s">
        <v>59</v>
      </c>
      <c r="M7" s="2"/>
    </row>
    <row r="8" spans="1:13" ht="75" customHeight="1">
      <c r="A8" s="2">
        <v>4</v>
      </c>
      <c r="B8" s="2">
        <v>2018</v>
      </c>
      <c r="C8" s="2" t="s">
        <v>68</v>
      </c>
      <c r="D8" s="2" t="s">
        <v>69</v>
      </c>
      <c r="E8" s="2" t="s">
        <v>70</v>
      </c>
      <c r="F8" s="14" t="s">
        <v>71</v>
      </c>
      <c r="G8" s="2" t="s">
        <v>72</v>
      </c>
      <c r="H8" s="2" t="s">
        <v>57</v>
      </c>
      <c r="I8" s="2" t="s">
        <v>73</v>
      </c>
      <c r="J8" s="2" t="s">
        <v>59</v>
      </c>
      <c r="K8" s="2" t="s">
        <v>74</v>
      </c>
      <c r="L8" s="15" t="s">
        <v>59</v>
      </c>
      <c r="M8" s="2"/>
    </row>
    <row r="9" spans="1:13" ht="75" customHeight="1">
      <c r="A9" s="2">
        <v>5</v>
      </c>
      <c r="B9" s="2">
        <v>2025</v>
      </c>
      <c r="C9" s="2" t="s">
        <v>75</v>
      </c>
      <c r="D9" s="2" t="s">
        <v>76</v>
      </c>
      <c r="E9" s="2" t="s">
        <v>77</v>
      </c>
      <c r="F9" s="14" t="s">
        <v>78</v>
      </c>
      <c r="G9" s="2" t="s">
        <v>79</v>
      </c>
      <c r="H9" s="2" t="s">
        <v>57</v>
      </c>
      <c r="I9" s="2" t="s">
        <v>80</v>
      </c>
      <c r="J9" s="2" t="s">
        <v>59</v>
      </c>
      <c r="K9" s="2" t="s">
        <v>81</v>
      </c>
      <c r="L9" s="15" t="s">
        <v>59</v>
      </c>
      <c r="M9" s="2"/>
    </row>
    <row r="10" spans="1:13" ht="75" customHeight="1">
      <c r="A10" s="2">
        <v>6</v>
      </c>
      <c r="B10" s="2">
        <v>2022</v>
      </c>
      <c r="C10" s="2" t="s">
        <v>82</v>
      </c>
      <c r="D10" s="2" t="s">
        <v>83</v>
      </c>
      <c r="E10" s="2" t="s">
        <v>84</v>
      </c>
      <c r="F10" s="14" t="s">
        <v>85</v>
      </c>
      <c r="G10" s="2" t="s">
        <v>86</v>
      </c>
      <c r="H10" s="2" t="s">
        <v>87</v>
      </c>
      <c r="I10" s="2" t="s">
        <v>88</v>
      </c>
      <c r="J10" s="2" t="s">
        <v>89</v>
      </c>
      <c r="K10" s="2" t="s">
        <v>90</v>
      </c>
      <c r="L10" s="15" t="s">
        <v>89</v>
      </c>
      <c r="M10" s="2"/>
    </row>
    <row r="11" spans="1:13" ht="75" customHeight="1">
      <c r="A11" s="2">
        <v>7</v>
      </c>
      <c r="B11" s="2">
        <v>2019</v>
      </c>
      <c r="C11" s="2" t="s">
        <v>91</v>
      </c>
      <c r="D11" s="2" t="s">
        <v>92</v>
      </c>
      <c r="E11" s="2" t="s">
        <v>93</v>
      </c>
      <c r="F11" s="14" t="s">
        <v>94</v>
      </c>
      <c r="G11" s="2"/>
      <c r="H11" s="2" t="s">
        <v>95</v>
      </c>
      <c r="I11" s="2" t="s">
        <v>96</v>
      </c>
      <c r="J11" s="2" t="s">
        <v>50</v>
      </c>
      <c r="K11" s="2" t="s">
        <v>97</v>
      </c>
      <c r="L11" s="15" t="s">
        <v>50</v>
      </c>
      <c r="M11" s="2"/>
    </row>
    <row r="12" spans="1:13" ht="75" customHeight="1">
      <c r="A12" s="2">
        <v>8</v>
      </c>
      <c r="B12" s="2">
        <v>2020</v>
      </c>
      <c r="C12" s="2" t="s">
        <v>98</v>
      </c>
      <c r="D12" s="2" t="s">
        <v>99</v>
      </c>
      <c r="E12" s="2" t="s">
        <v>100</v>
      </c>
      <c r="F12" s="14" t="s">
        <v>101</v>
      </c>
      <c r="G12" s="2" t="s">
        <v>102</v>
      </c>
      <c r="H12" s="2" t="s">
        <v>95</v>
      </c>
      <c r="I12" s="2" t="s">
        <v>103</v>
      </c>
      <c r="J12" s="2" t="s">
        <v>59</v>
      </c>
      <c r="K12" s="2" t="s">
        <v>104</v>
      </c>
      <c r="L12" s="15" t="s">
        <v>59</v>
      </c>
      <c r="M12" s="2"/>
    </row>
    <row r="13" spans="1:13" ht="75" customHeight="1">
      <c r="A13" s="2">
        <v>9</v>
      </c>
      <c r="B13" s="2">
        <v>2025</v>
      </c>
      <c r="C13" s="2" t="s">
        <v>105</v>
      </c>
      <c r="D13" s="2" t="s">
        <v>106</v>
      </c>
      <c r="E13" s="2" t="s">
        <v>107</v>
      </c>
      <c r="F13" s="14" t="s">
        <v>108</v>
      </c>
      <c r="G13" s="2" t="s">
        <v>109</v>
      </c>
      <c r="H13" s="2" t="s">
        <v>48</v>
      </c>
      <c r="I13" s="2" t="s">
        <v>110</v>
      </c>
      <c r="J13" s="2" t="s">
        <v>59</v>
      </c>
      <c r="K13" s="2" t="s">
        <v>111</v>
      </c>
      <c r="L13" s="15" t="s">
        <v>59</v>
      </c>
      <c r="M13" s="2"/>
    </row>
    <row r="14" spans="1:13" ht="75" customHeight="1">
      <c r="A14" s="2">
        <v>10</v>
      </c>
      <c r="B14" s="2">
        <v>2024</v>
      </c>
      <c r="C14" s="2" t="s">
        <v>112</v>
      </c>
      <c r="D14" s="2" t="s">
        <v>113</v>
      </c>
      <c r="E14" s="2" t="s">
        <v>114</v>
      </c>
      <c r="F14" s="14" t="s">
        <v>115</v>
      </c>
      <c r="G14" s="2" t="s">
        <v>116</v>
      </c>
      <c r="H14" s="2" t="s">
        <v>117</v>
      </c>
      <c r="I14" s="2" t="s">
        <v>118</v>
      </c>
      <c r="J14" s="2" t="s">
        <v>89</v>
      </c>
      <c r="K14" s="2" t="s">
        <v>119</v>
      </c>
      <c r="L14" s="15" t="s">
        <v>89</v>
      </c>
      <c r="M14" s="2"/>
    </row>
    <row r="15" spans="1:13" ht="75" customHeight="1">
      <c r="A15" s="2">
        <v>11</v>
      </c>
      <c r="B15" s="2">
        <v>2021</v>
      </c>
      <c r="C15" s="2" t="s">
        <v>120</v>
      </c>
      <c r="D15" s="2" t="s">
        <v>121</v>
      </c>
      <c r="E15" s="2" t="s">
        <v>122</v>
      </c>
      <c r="F15" s="14" t="s">
        <v>123</v>
      </c>
      <c r="G15" s="2" t="s">
        <v>124</v>
      </c>
      <c r="H15" s="2" t="s">
        <v>125</v>
      </c>
      <c r="I15" s="2" t="s">
        <v>126</v>
      </c>
      <c r="J15" s="2" t="s">
        <v>50</v>
      </c>
      <c r="K15" s="2" t="s">
        <v>127</v>
      </c>
      <c r="L15" s="15" t="s">
        <v>50</v>
      </c>
      <c r="M15" s="2"/>
    </row>
    <row r="16" spans="1:13" ht="75" customHeight="1">
      <c r="A16" s="2">
        <v>12</v>
      </c>
      <c r="B16" s="2">
        <v>2024</v>
      </c>
      <c r="C16" s="2" t="s">
        <v>128</v>
      </c>
      <c r="D16" s="2" t="s">
        <v>129</v>
      </c>
      <c r="E16" s="2" t="s">
        <v>130</v>
      </c>
      <c r="F16" s="14" t="s">
        <v>131</v>
      </c>
      <c r="G16" s="2" t="s">
        <v>132</v>
      </c>
      <c r="H16" s="2" t="s">
        <v>57</v>
      </c>
      <c r="I16" s="2" t="s">
        <v>133</v>
      </c>
      <c r="J16" s="2" t="s">
        <v>89</v>
      </c>
      <c r="K16" s="2" t="s">
        <v>134</v>
      </c>
      <c r="L16" s="15" t="s">
        <v>89</v>
      </c>
      <c r="M16" s="2"/>
    </row>
    <row r="17" spans="1:13" ht="75" customHeight="1">
      <c r="A17" s="2">
        <v>13</v>
      </c>
      <c r="B17" s="2">
        <v>2020</v>
      </c>
      <c r="C17" s="2" t="s">
        <v>135</v>
      </c>
      <c r="D17" s="2" t="s">
        <v>136</v>
      </c>
      <c r="E17" s="2" t="s">
        <v>137</v>
      </c>
      <c r="F17" s="14" t="s">
        <v>138</v>
      </c>
      <c r="G17" s="2" t="s">
        <v>139</v>
      </c>
      <c r="H17" s="2" t="s">
        <v>57</v>
      </c>
      <c r="I17" s="2" t="s">
        <v>140</v>
      </c>
      <c r="J17" s="2" t="s">
        <v>59</v>
      </c>
      <c r="K17" s="2" t="s">
        <v>141</v>
      </c>
      <c r="L17" s="15" t="s">
        <v>59</v>
      </c>
      <c r="M17" s="2"/>
    </row>
    <row r="18" spans="1:13" ht="75" customHeight="1">
      <c r="A18" s="2">
        <v>14</v>
      </c>
      <c r="B18" s="2">
        <v>2025</v>
      </c>
      <c r="C18" s="2" t="s">
        <v>142</v>
      </c>
      <c r="D18" s="2" t="s">
        <v>143</v>
      </c>
      <c r="E18" s="2" t="s">
        <v>70</v>
      </c>
      <c r="F18" s="14" t="s">
        <v>144</v>
      </c>
      <c r="G18" s="2" t="s">
        <v>145</v>
      </c>
      <c r="H18" s="2" t="s">
        <v>57</v>
      </c>
      <c r="I18" s="2" t="s">
        <v>146</v>
      </c>
      <c r="J18" s="2" t="s">
        <v>59</v>
      </c>
      <c r="K18" s="2" t="s">
        <v>147</v>
      </c>
      <c r="L18" s="15" t="s">
        <v>59</v>
      </c>
      <c r="M18" s="2"/>
    </row>
    <row r="19" spans="1:13" ht="75" customHeight="1">
      <c r="A19" s="2">
        <v>15</v>
      </c>
      <c r="B19" s="2">
        <v>2021</v>
      </c>
      <c r="C19" s="2" t="s">
        <v>148</v>
      </c>
      <c r="D19" s="2" t="s">
        <v>149</v>
      </c>
      <c r="E19" s="2" t="s">
        <v>150</v>
      </c>
      <c r="F19" s="14" t="s">
        <v>151</v>
      </c>
      <c r="G19" s="2" t="s">
        <v>152</v>
      </c>
      <c r="H19" s="2" t="s">
        <v>153</v>
      </c>
      <c r="I19" s="2" t="s">
        <v>154</v>
      </c>
      <c r="J19" s="2" t="s">
        <v>89</v>
      </c>
      <c r="K19" s="2" t="s">
        <v>155</v>
      </c>
      <c r="L19" s="15" t="s">
        <v>89</v>
      </c>
      <c r="M19" s="2"/>
    </row>
    <row r="20" spans="1:13" ht="75" customHeight="1">
      <c r="A20" s="2">
        <v>16</v>
      </c>
      <c r="B20" s="2">
        <v>2023</v>
      </c>
      <c r="C20" s="2" t="s">
        <v>156</v>
      </c>
      <c r="D20" s="2" t="s">
        <v>157</v>
      </c>
      <c r="E20" s="2" t="s">
        <v>158</v>
      </c>
      <c r="F20" s="14" t="s">
        <v>159</v>
      </c>
      <c r="G20" s="2" t="s">
        <v>160</v>
      </c>
      <c r="H20" s="2" t="s">
        <v>161</v>
      </c>
      <c r="I20" s="2" t="s">
        <v>162</v>
      </c>
      <c r="J20" s="2" t="s">
        <v>59</v>
      </c>
      <c r="K20" s="2" t="s">
        <v>163</v>
      </c>
      <c r="L20" s="15" t="s">
        <v>59</v>
      </c>
      <c r="M20" s="2"/>
    </row>
    <row r="21" spans="1:13" ht="75" customHeight="1">
      <c r="A21" s="2">
        <v>17</v>
      </c>
      <c r="B21" s="2">
        <v>2024</v>
      </c>
      <c r="C21" s="2" t="s">
        <v>164</v>
      </c>
      <c r="D21" s="2" t="s">
        <v>165</v>
      </c>
      <c r="E21" s="2" t="s">
        <v>166</v>
      </c>
      <c r="F21" s="14" t="s">
        <v>167</v>
      </c>
      <c r="G21" s="2" t="s">
        <v>168</v>
      </c>
      <c r="H21" s="2" t="s">
        <v>117</v>
      </c>
      <c r="I21" s="2" t="s">
        <v>169</v>
      </c>
      <c r="J21" s="2" t="s">
        <v>59</v>
      </c>
      <c r="K21" s="2" t="s">
        <v>170</v>
      </c>
      <c r="L21" s="15" t="s">
        <v>59</v>
      </c>
      <c r="M21" s="2"/>
    </row>
    <row r="22" spans="1:13" ht="75" customHeight="1">
      <c r="A22" s="2">
        <v>18</v>
      </c>
      <c r="B22" s="2">
        <v>2021</v>
      </c>
      <c r="C22" s="2" t="s">
        <v>171</v>
      </c>
      <c r="D22" s="2" t="s">
        <v>172</v>
      </c>
      <c r="E22" s="2" t="s">
        <v>70</v>
      </c>
      <c r="F22" s="14" t="s">
        <v>173</v>
      </c>
      <c r="G22" s="2" t="s">
        <v>174</v>
      </c>
      <c r="H22" s="2" t="s">
        <v>87</v>
      </c>
      <c r="I22" s="2" t="s">
        <v>175</v>
      </c>
      <c r="J22" s="2" t="s">
        <v>59</v>
      </c>
      <c r="K22" s="2" t="s">
        <v>176</v>
      </c>
      <c r="L22" s="15" t="s">
        <v>59</v>
      </c>
      <c r="M22" s="2"/>
    </row>
    <row r="23" spans="1:13" ht="75" customHeight="1">
      <c r="A23" s="2">
        <v>19</v>
      </c>
      <c r="B23" s="2">
        <v>2024</v>
      </c>
      <c r="C23" s="2" t="s">
        <v>177</v>
      </c>
      <c r="D23" s="2" t="s">
        <v>178</v>
      </c>
      <c r="E23" s="2" t="s">
        <v>70</v>
      </c>
      <c r="F23" s="14" t="s">
        <v>179</v>
      </c>
      <c r="G23" s="2" t="s">
        <v>180</v>
      </c>
      <c r="H23" s="2" t="s">
        <v>181</v>
      </c>
      <c r="I23" s="2" t="s">
        <v>182</v>
      </c>
      <c r="J23" s="2" t="s">
        <v>59</v>
      </c>
      <c r="K23" s="2" t="s">
        <v>183</v>
      </c>
      <c r="L23" s="15" t="s">
        <v>59</v>
      </c>
      <c r="M23" s="2"/>
    </row>
    <row r="24" spans="1:13" ht="75" customHeight="1">
      <c r="A24" s="2">
        <v>20</v>
      </c>
      <c r="B24" s="2">
        <v>2023</v>
      </c>
      <c r="C24" s="2" t="s">
        <v>184</v>
      </c>
      <c r="D24" s="2" t="s">
        <v>185</v>
      </c>
      <c r="E24" s="2" t="s">
        <v>186</v>
      </c>
      <c r="F24" s="14" t="s">
        <v>187</v>
      </c>
      <c r="G24" s="2" t="s">
        <v>188</v>
      </c>
      <c r="H24" s="2" t="s">
        <v>48</v>
      </c>
      <c r="I24" s="2" t="s">
        <v>189</v>
      </c>
      <c r="J24" s="2" t="s">
        <v>50</v>
      </c>
      <c r="K24" s="2" t="s">
        <v>190</v>
      </c>
      <c r="L24" s="15" t="s">
        <v>50</v>
      </c>
      <c r="M24" s="2"/>
    </row>
    <row r="25" spans="1:13" ht="75" customHeight="1">
      <c r="A25" s="2">
        <v>21</v>
      </c>
      <c r="B25" s="2">
        <v>2025</v>
      </c>
      <c r="C25" s="2" t="s">
        <v>191</v>
      </c>
      <c r="D25" s="2" t="s">
        <v>192</v>
      </c>
      <c r="E25" s="2" t="s">
        <v>193</v>
      </c>
      <c r="F25" s="14" t="s">
        <v>194</v>
      </c>
      <c r="G25" s="2" t="s">
        <v>195</v>
      </c>
      <c r="H25" s="2" t="s">
        <v>95</v>
      </c>
      <c r="I25" s="2" t="s">
        <v>196</v>
      </c>
      <c r="J25" s="2" t="s">
        <v>59</v>
      </c>
      <c r="K25" s="2" t="s">
        <v>197</v>
      </c>
      <c r="L25" s="15" t="s">
        <v>59</v>
      </c>
      <c r="M25" s="2"/>
    </row>
    <row r="26" spans="1:13" ht="75" customHeight="1">
      <c r="A26" s="2">
        <v>22</v>
      </c>
      <c r="B26" s="2">
        <v>2021</v>
      </c>
      <c r="C26" s="2" t="s">
        <v>198</v>
      </c>
      <c r="D26" s="2" t="s">
        <v>199</v>
      </c>
      <c r="E26" s="2" t="s">
        <v>200</v>
      </c>
      <c r="F26" s="14" t="s">
        <v>201</v>
      </c>
      <c r="G26" s="2" t="s">
        <v>202</v>
      </c>
      <c r="H26" s="2" t="s">
        <v>203</v>
      </c>
      <c r="I26" s="2" t="s">
        <v>204</v>
      </c>
      <c r="J26" s="2" t="s">
        <v>50</v>
      </c>
      <c r="K26" s="2" t="s">
        <v>205</v>
      </c>
      <c r="L26" s="15" t="s">
        <v>50</v>
      </c>
      <c r="M26" s="2"/>
    </row>
    <row r="27" spans="1:13" ht="75" customHeight="1">
      <c r="A27" s="2">
        <v>23</v>
      </c>
      <c r="B27" s="2">
        <v>2020</v>
      </c>
      <c r="C27" s="2" t="s">
        <v>206</v>
      </c>
      <c r="D27" s="2" t="s">
        <v>106</v>
      </c>
      <c r="E27" s="2" t="s">
        <v>84</v>
      </c>
      <c r="F27" s="14" t="s">
        <v>207</v>
      </c>
      <c r="G27" s="2" t="s">
        <v>208</v>
      </c>
      <c r="H27" s="2" t="s">
        <v>87</v>
      </c>
      <c r="I27" s="2" t="s">
        <v>209</v>
      </c>
      <c r="J27" s="2" t="s">
        <v>89</v>
      </c>
      <c r="K27" s="2" t="s">
        <v>210</v>
      </c>
      <c r="L27" s="15" t="s">
        <v>89</v>
      </c>
      <c r="M27" s="2"/>
    </row>
    <row r="28" spans="1:13" ht="75" customHeight="1">
      <c r="A28" s="2">
        <v>24</v>
      </c>
      <c r="B28" s="2">
        <v>2019</v>
      </c>
      <c r="C28" s="2" t="s">
        <v>211</v>
      </c>
      <c r="D28" s="2" t="s">
        <v>212</v>
      </c>
      <c r="E28" s="2" t="s">
        <v>70</v>
      </c>
      <c r="F28" s="14" t="s">
        <v>213</v>
      </c>
      <c r="G28" s="2" t="s">
        <v>214</v>
      </c>
      <c r="H28" s="2" t="s">
        <v>87</v>
      </c>
      <c r="I28" s="2" t="s">
        <v>215</v>
      </c>
      <c r="J28" s="2" t="s">
        <v>89</v>
      </c>
      <c r="K28" s="2" t="s">
        <v>216</v>
      </c>
      <c r="L28" s="15" t="s">
        <v>89</v>
      </c>
      <c r="M28" s="2"/>
    </row>
    <row r="29" spans="1:13" ht="75" customHeight="1">
      <c r="A29" s="2">
        <v>25</v>
      </c>
      <c r="B29" s="2">
        <v>2022</v>
      </c>
      <c r="C29" s="2" t="s">
        <v>217</v>
      </c>
      <c r="D29" s="2" t="s">
        <v>218</v>
      </c>
      <c r="E29" s="2" t="s">
        <v>70</v>
      </c>
      <c r="F29" s="14" t="s">
        <v>219</v>
      </c>
      <c r="G29" s="2" t="s">
        <v>220</v>
      </c>
      <c r="H29" s="2" t="s">
        <v>221</v>
      </c>
      <c r="I29" s="2" t="s">
        <v>222</v>
      </c>
      <c r="J29" s="2" t="s">
        <v>59</v>
      </c>
      <c r="K29" s="2" t="s">
        <v>223</v>
      </c>
      <c r="L29" s="15" t="s">
        <v>59</v>
      </c>
      <c r="M29" s="2"/>
    </row>
    <row r="30" spans="1:13" ht="75" customHeight="1">
      <c r="A30" s="2">
        <v>26</v>
      </c>
      <c r="B30" s="2">
        <v>2010</v>
      </c>
      <c r="C30" s="2" t="s">
        <v>224</v>
      </c>
      <c r="D30" s="2" t="s">
        <v>225</v>
      </c>
      <c r="E30" s="2" t="s">
        <v>70</v>
      </c>
      <c r="F30" s="14" t="s">
        <v>226</v>
      </c>
      <c r="G30" s="2" t="s">
        <v>227</v>
      </c>
      <c r="H30" s="2" t="s">
        <v>228</v>
      </c>
      <c r="I30" s="2" t="s">
        <v>229</v>
      </c>
      <c r="J30" s="2" t="s">
        <v>59</v>
      </c>
      <c r="K30" s="2" t="s">
        <v>230</v>
      </c>
      <c r="L30" s="15" t="s">
        <v>59</v>
      </c>
      <c r="M30" s="2"/>
    </row>
    <row r="31" spans="1:13" ht="75" customHeight="1">
      <c r="A31" s="2">
        <v>27</v>
      </c>
      <c r="B31" s="2">
        <v>2023</v>
      </c>
      <c r="C31" s="2" t="s">
        <v>231</v>
      </c>
      <c r="D31" s="2" t="s">
        <v>232</v>
      </c>
      <c r="E31" s="2" t="s">
        <v>233</v>
      </c>
      <c r="F31" s="14" t="s">
        <v>234</v>
      </c>
      <c r="G31" s="2" t="s">
        <v>235</v>
      </c>
      <c r="H31" s="2" t="s">
        <v>57</v>
      </c>
      <c r="I31" s="2" t="s">
        <v>236</v>
      </c>
      <c r="J31" s="2" t="s">
        <v>89</v>
      </c>
      <c r="K31" s="2" t="s">
        <v>237</v>
      </c>
      <c r="L31" s="15" t="s">
        <v>89</v>
      </c>
      <c r="M31" s="2"/>
    </row>
    <row r="32" spans="1:13" ht="75" customHeight="1">
      <c r="A32" s="2">
        <v>28</v>
      </c>
      <c r="B32" s="2">
        <v>2024</v>
      </c>
      <c r="C32" s="2" t="s">
        <v>238</v>
      </c>
      <c r="D32" s="2" t="s">
        <v>239</v>
      </c>
      <c r="E32" s="2" t="s">
        <v>240</v>
      </c>
      <c r="F32" s="14" t="s">
        <v>241</v>
      </c>
      <c r="G32" s="2"/>
      <c r="H32" s="2" t="s">
        <v>242</v>
      </c>
      <c r="I32" s="2" t="s">
        <v>243</v>
      </c>
      <c r="J32" s="2" t="s">
        <v>50</v>
      </c>
      <c r="K32" s="2" t="s">
        <v>244</v>
      </c>
      <c r="L32" s="15" t="s">
        <v>50</v>
      </c>
      <c r="M32" s="2"/>
    </row>
    <row r="33" spans="1:13" ht="75" customHeight="1">
      <c r="A33" s="2">
        <v>29</v>
      </c>
      <c r="B33" s="2">
        <v>2025</v>
      </c>
      <c r="C33" s="2" t="s">
        <v>245</v>
      </c>
      <c r="D33" s="2" t="s">
        <v>246</v>
      </c>
      <c r="E33" s="2" t="s">
        <v>240</v>
      </c>
      <c r="F33" s="14" t="s">
        <v>247</v>
      </c>
      <c r="G33" s="2" t="s">
        <v>248</v>
      </c>
      <c r="H33" s="2" t="s">
        <v>203</v>
      </c>
      <c r="I33" s="2" t="s">
        <v>249</v>
      </c>
      <c r="J33" s="2" t="s">
        <v>59</v>
      </c>
      <c r="K33" s="2" t="s">
        <v>250</v>
      </c>
      <c r="L33" s="15" t="s">
        <v>59</v>
      </c>
      <c r="M33" s="2"/>
    </row>
    <row r="34" spans="1:13" ht="75" customHeight="1">
      <c r="A34" s="2">
        <v>30</v>
      </c>
      <c r="B34" s="2">
        <v>2025</v>
      </c>
      <c r="C34" s="2" t="s">
        <v>251</v>
      </c>
      <c r="D34" s="2" t="s">
        <v>252</v>
      </c>
      <c r="E34" s="2" t="s">
        <v>253</v>
      </c>
      <c r="F34" s="14" t="s">
        <v>254</v>
      </c>
      <c r="G34" s="2" t="s">
        <v>255</v>
      </c>
      <c r="H34" s="2" t="s">
        <v>256</v>
      </c>
      <c r="I34" s="2" t="s">
        <v>257</v>
      </c>
      <c r="J34" s="2" t="s">
        <v>50</v>
      </c>
      <c r="K34" s="2" t="s">
        <v>258</v>
      </c>
      <c r="L34" s="15" t="s">
        <v>50</v>
      </c>
      <c r="M34" s="2"/>
    </row>
    <row r="35" spans="1:13" ht="75" customHeight="1">
      <c r="A35" s="2">
        <v>31</v>
      </c>
      <c r="B35" s="2">
        <v>2021</v>
      </c>
      <c r="C35" s="2" t="s">
        <v>259</v>
      </c>
      <c r="D35" s="2" t="s">
        <v>172</v>
      </c>
      <c r="E35" s="2" t="s">
        <v>100</v>
      </c>
      <c r="F35" s="14" t="s">
        <v>260</v>
      </c>
      <c r="G35" s="2" t="s">
        <v>261</v>
      </c>
      <c r="H35" s="2" t="s">
        <v>95</v>
      </c>
      <c r="I35" s="2" t="s">
        <v>262</v>
      </c>
      <c r="J35" s="2" t="s">
        <v>59</v>
      </c>
      <c r="K35" s="2" t="s">
        <v>263</v>
      </c>
      <c r="L35" s="15" t="s">
        <v>59</v>
      </c>
      <c r="M35" s="2"/>
    </row>
    <row r="36" spans="1:13" ht="75" customHeight="1">
      <c r="A36" s="2">
        <v>32</v>
      </c>
      <c r="B36" s="2">
        <v>2025</v>
      </c>
      <c r="C36" s="2" t="s">
        <v>264</v>
      </c>
      <c r="D36" s="2" t="s">
        <v>265</v>
      </c>
      <c r="E36" s="2" t="s">
        <v>266</v>
      </c>
      <c r="F36" s="14" t="s">
        <v>267</v>
      </c>
      <c r="G36" s="2"/>
      <c r="H36" s="2" t="s">
        <v>48</v>
      </c>
      <c r="I36" s="2" t="s">
        <v>268</v>
      </c>
      <c r="J36" s="2" t="s">
        <v>59</v>
      </c>
      <c r="K36" s="2" t="s">
        <v>269</v>
      </c>
      <c r="L36" s="15" t="s">
        <v>59</v>
      </c>
      <c r="M36" s="2"/>
    </row>
    <row r="37" spans="1:13" ht="75" customHeight="1">
      <c r="A37" s="2">
        <v>33</v>
      </c>
      <c r="B37" s="2">
        <v>2023</v>
      </c>
      <c r="C37" s="2" t="s">
        <v>270</v>
      </c>
      <c r="D37" s="2" t="s">
        <v>271</v>
      </c>
      <c r="E37" s="2" t="s">
        <v>70</v>
      </c>
      <c r="F37" s="14" t="s">
        <v>272</v>
      </c>
      <c r="G37" s="2" t="s">
        <v>273</v>
      </c>
      <c r="H37" s="2" t="s">
        <v>57</v>
      </c>
      <c r="I37" s="2" t="s">
        <v>274</v>
      </c>
      <c r="J37" s="2" t="s">
        <v>89</v>
      </c>
      <c r="K37" s="2" t="s">
        <v>275</v>
      </c>
      <c r="L37" s="15" t="s">
        <v>89</v>
      </c>
      <c r="M37" s="2"/>
    </row>
    <row r="38" spans="1:13" ht="75" customHeight="1">
      <c r="A38" s="2">
        <v>34</v>
      </c>
      <c r="B38" s="2">
        <v>2024</v>
      </c>
      <c r="C38" s="2" t="s">
        <v>276</v>
      </c>
      <c r="D38" s="2" t="s">
        <v>277</v>
      </c>
      <c r="E38" s="2" t="s">
        <v>70</v>
      </c>
      <c r="F38" s="14" t="s">
        <v>278</v>
      </c>
      <c r="G38" s="2" t="s">
        <v>279</v>
      </c>
      <c r="H38" s="2" t="s">
        <v>256</v>
      </c>
      <c r="I38" s="2" t="s">
        <v>236</v>
      </c>
      <c r="J38" s="2" t="s">
        <v>89</v>
      </c>
      <c r="K38" s="2" t="s">
        <v>280</v>
      </c>
      <c r="L38" s="15" t="s">
        <v>89</v>
      </c>
      <c r="M38" s="2"/>
    </row>
    <row r="39" spans="1:13" ht="75" customHeight="1">
      <c r="A39" s="2">
        <v>35</v>
      </c>
      <c r="B39" s="2">
        <v>2024</v>
      </c>
      <c r="C39" s="2" t="s">
        <v>281</v>
      </c>
      <c r="D39" s="2" t="s">
        <v>282</v>
      </c>
      <c r="E39" s="2" t="s">
        <v>240</v>
      </c>
      <c r="F39" s="14" t="s">
        <v>283</v>
      </c>
      <c r="G39" s="2"/>
      <c r="H39" s="2" t="s">
        <v>95</v>
      </c>
      <c r="I39" s="2" t="s">
        <v>284</v>
      </c>
      <c r="J39" s="2" t="s">
        <v>50</v>
      </c>
      <c r="K39" s="2" t="s">
        <v>285</v>
      </c>
      <c r="L39" s="15" t="s">
        <v>50</v>
      </c>
      <c r="M39" s="2"/>
    </row>
    <row r="40" spans="1:13" ht="75" customHeight="1">
      <c r="A40" s="2">
        <v>36</v>
      </c>
      <c r="B40" s="2">
        <v>2018</v>
      </c>
      <c r="C40" s="2" t="s">
        <v>286</v>
      </c>
      <c r="D40" s="2" t="s">
        <v>287</v>
      </c>
      <c r="E40" s="2" t="s">
        <v>288</v>
      </c>
      <c r="F40" s="14" t="s">
        <v>289</v>
      </c>
      <c r="G40" s="2"/>
      <c r="H40" s="2" t="s">
        <v>48</v>
      </c>
      <c r="I40" s="2" t="s">
        <v>290</v>
      </c>
      <c r="J40" s="2" t="s">
        <v>59</v>
      </c>
      <c r="K40" s="2" t="s">
        <v>291</v>
      </c>
      <c r="L40" s="15" t="s">
        <v>59</v>
      </c>
      <c r="M40" s="2"/>
    </row>
    <row r="41" spans="1:13" ht="75" customHeight="1">
      <c r="A41" s="2">
        <v>37</v>
      </c>
      <c r="B41" s="2">
        <v>2024</v>
      </c>
      <c r="C41" s="2" t="s">
        <v>292</v>
      </c>
      <c r="D41" s="2" t="s">
        <v>293</v>
      </c>
      <c r="E41" s="2" t="s">
        <v>84</v>
      </c>
      <c r="F41" s="14" t="s">
        <v>294</v>
      </c>
      <c r="G41" s="2" t="s">
        <v>295</v>
      </c>
      <c r="H41" s="2" t="s">
        <v>57</v>
      </c>
      <c r="I41" s="2" t="s">
        <v>236</v>
      </c>
      <c r="J41" s="2" t="s">
        <v>89</v>
      </c>
      <c r="K41" s="2" t="s">
        <v>296</v>
      </c>
      <c r="L41" s="15" t="s">
        <v>89</v>
      </c>
      <c r="M41" s="2"/>
    </row>
    <row r="42" spans="1:13" ht="75" customHeight="1">
      <c r="A42" s="2">
        <v>38</v>
      </c>
      <c r="B42" s="2">
        <v>2025</v>
      </c>
      <c r="C42" s="2" t="s">
        <v>297</v>
      </c>
      <c r="D42" s="2" t="s">
        <v>298</v>
      </c>
      <c r="E42" s="2" t="s">
        <v>299</v>
      </c>
      <c r="F42" s="14" t="s">
        <v>300</v>
      </c>
      <c r="G42" s="2" t="s">
        <v>301</v>
      </c>
      <c r="H42" s="2" t="s">
        <v>302</v>
      </c>
      <c r="I42" s="2" t="s">
        <v>303</v>
      </c>
      <c r="J42" s="2" t="s">
        <v>59</v>
      </c>
      <c r="K42" s="2" t="s">
        <v>304</v>
      </c>
      <c r="L42" s="15" t="s">
        <v>59</v>
      </c>
      <c r="M42" s="2"/>
    </row>
    <row r="43" spans="1:13" ht="75" customHeight="1">
      <c r="A43" s="2">
        <v>39</v>
      </c>
      <c r="B43" s="2">
        <v>2025</v>
      </c>
      <c r="C43" s="2" t="s">
        <v>305</v>
      </c>
      <c r="D43" s="2" t="s">
        <v>306</v>
      </c>
      <c r="E43" s="2" t="s">
        <v>84</v>
      </c>
      <c r="F43" s="14" t="s">
        <v>307</v>
      </c>
      <c r="G43" s="2" t="s">
        <v>308</v>
      </c>
      <c r="H43" s="2" t="s">
        <v>203</v>
      </c>
      <c r="I43" s="2" t="s">
        <v>309</v>
      </c>
      <c r="J43" s="2" t="s">
        <v>89</v>
      </c>
      <c r="K43" s="2" t="s">
        <v>310</v>
      </c>
      <c r="L43" s="15" t="s">
        <v>89</v>
      </c>
      <c r="M43" s="2"/>
    </row>
    <row r="44" spans="1:13" ht="75" customHeight="1">
      <c r="A44" s="2">
        <v>40</v>
      </c>
      <c r="B44" s="2">
        <v>2016</v>
      </c>
      <c r="C44" s="2" t="s">
        <v>311</v>
      </c>
      <c r="D44" s="2" t="s">
        <v>312</v>
      </c>
      <c r="E44" s="2" t="s">
        <v>313</v>
      </c>
      <c r="F44" s="14" t="s">
        <v>314</v>
      </c>
      <c r="G44" s="2" t="s">
        <v>315</v>
      </c>
      <c r="H44" s="2" t="s">
        <v>256</v>
      </c>
      <c r="I44" s="2" t="s">
        <v>236</v>
      </c>
      <c r="J44" s="2" t="s">
        <v>89</v>
      </c>
      <c r="K44" s="2" t="s">
        <v>316</v>
      </c>
      <c r="L44" s="15" t="s">
        <v>89</v>
      </c>
      <c r="M44" s="2"/>
    </row>
    <row r="45" spans="1:13" ht="75" customHeight="1">
      <c r="A45" s="2">
        <v>41</v>
      </c>
      <c r="B45" s="2">
        <v>2024</v>
      </c>
      <c r="C45" s="2" t="s">
        <v>317</v>
      </c>
      <c r="D45" s="2" t="s">
        <v>318</v>
      </c>
      <c r="E45" s="2" t="s">
        <v>84</v>
      </c>
      <c r="F45" s="14" t="s">
        <v>319</v>
      </c>
      <c r="G45" s="2" t="s">
        <v>320</v>
      </c>
      <c r="H45" s="2" t="s">
        <v>57</v>
      </c>
      <c r="I45" s="2" t="s">
        <v>321</v>
      </c>
      <c r="J45" s="2" t="s">
        <v>89</v>
      </c>
      <c r="K45" s="2" t="s">
        <v>322</v>
      </c>
      <c r="L45" s="15" t="s">
        <v>89</v>
      </c>
      <c r="M45" s="2"/>
    </row>
    <row r="46" spans="1:13" ht="75" customHeight="1">
      <c r="A46" s="2">
        <v>42</v>
      </c>
      <c r="B46" s="2">
        <v>2012</v>
      </c>
      <c r="C46" s="2" t="s">
        <v>323</v>
      </c>
      <c r="D46" s="2" t="s">
        <v>324</v>
      </c>
      <c r="E46" s="2" t="s">
        <v>325</v>
      </c>
      <c r="F46" s="14" t="s">
        <v>326</v>
      </c>
      <c r="G46" s="2"/>
      <c r="H46" s="2" t="s">
        <v>87</v>
      </c>
      <c r="I46" s="2" t="s">
        <v>327</v>
      </c>
      <c r="J46" s="2" t="s">
        <v>50</v>
      </c>
      <c r="K46" s="2" t="s">
        <v>328</v>
      </c>
      <c r="L46" s="15" t="s">
        <v>50</v>
      </c>
      <c r="M46" s="2"/>
    </row>
    <row r="47" spans="1:13" ht="75" customHeight="1">
      <c r="A47" s="2">
        <v>43</v>
      </c>
      <c r="B47" s="2">
        <v>2025</v>
      </c>
      <c r="C47" s="2" t="s">
        <v>329</v>
      </c>
      <c r="D47" s="2" t="s">
        <v>330</v>
      </c>
      <c r="E47" s="2" t="s">
        <v>240</v>
      </c>
      <c r="F47" s="14" t="s">
        <v>331</v>
      </c>
      <c r="G47" s="2" t="s">
        <v>332</v>
      </c>
      <c r="H47" s="2" t="s">
        <v>242</v>
      </c>
      <c r="I47" s="2" t="s">
        <v>333</v>
      </c>
      <c r="J47" s="2" t="s">
        <v>50</v>
      </c>
      <c r="K47" s="2" t="s">
        <v>334</v>
      </c>
      <c r="L47" s="15" t="s">
        <v>50</v>
      </c>
      <c r="M47" s="2"/>
    </row>
    <row r="48" spans="1:13" ht="75" customHeight="1">
      <c r="A48" s="2">
        <v>44</v>
      </c>
      <c r="B48" s="2">
        <v>2023</v>
      </c>
      <c r="C48" s="2" t="s">
        <v>335</v>
      </c>
      <c r="D48" s="2" t="s">
        <v>165</v>
      </c>
      <c r="E48" s="2" t="s">
        <v>336</v>
      </c>
      <c r="F48" s="14" t="s">
        <v>337</v>
      </c>
      <c r="G48" s="2" t="s">
        <v>338</v>
      </c>
      <c r="H48" s="2" t="s">
        <v>48</v>
      </c>
      <c r="I48" s="2" t="s">
        <v>339</v>
      </c>
      <c r="J48" s="2" t="s">
        <v>59</v>
      </c>
      <c r="K48" s="2" t="s">
        <v>340</v>
      </c>
      <c r="L48" s="15" t="s">
        <v>59</v>
      </c>
      <c r="M48" s="2"/>
    </row>
    <row r="49" spans="1:13" ht="75" customHeight="1">
      <c r="A49" s="2">
        <v>45</v>
      </c>
      <c r="B49" s="2">
        <v>2025</v>
      </c>
      <c r="C49" s="2" t="s">
        <v>341</v>
      </c>
      <c r="D49" s="2" t="s">
        <v>342</v>
      </c>
      <c r="E49" s="2" t="s">
        <v>70</v>
      </c>
      <c r="F49" s="14" t="s">
        <v>343</v>
      </c>
      <c r="G49" s="2" t="s">
        <v>344</v>
      </c>
      <c r="H49" s="2" t="s">
        <v>57</v>
      </c>
      <c r="I49" s="2" t="s">
        <v>345</v>
      </c>
      <c r="J49" s="2" t="s">
        <v>89</v>
      </c>
      <c r="K49" s="2" t="s">
        <v>346</v>
      </c>
      <c r="L49" s="15" t="s">
        <v>89</v>
      </c>
      <c r="M49" s="2"/>
    </row>
    <row r="50" spans="1:13" ht="75" customHeight="1">
      <c r="A50" s="2">
        <v>46</v>
      </c>
      <c r="B50" s="2">
        <v>2025</v>
      </c>
      <c r="C50" s="2" t="s">
        <v>347</v>
      </c>
      <c r="D50" s="2" t="s">
        <v>92</v>
      </c>
      <c r="E50" s="2" t="s">
        <v>348</v>
      </c>
      <c r="F50" s="14" t="s">
        <v>349</v>
      </c>
      <c r="G50" s="2" t="s">
        <v>350</v>
      </c>
      <c r="H50" s="2" t="s">
        <v>95</v>
      </c>
      <c r="I50" s="2" t="s">
        <v>351</v>
      </c>
      <c r="J50" s="2" t="s">
        <v>59</v>
      </c>
      <c r="K50" s="2" t="s">
        <v>352</v>
      </c>
      <c r="L50" s="15" t="s">
        <v>59</v>
      </c>
      <c r="M50" s="2"/>
    </row>
    <row r="51" spans="1:13" ht="75" customHeight="1">
      <c r="A51" s="2">
        <v>47</v>
      </c>
      <c r="B51" s="2">
        <v>2023</v>
      </c>
      <c r="C51" s="2" t="s">
        <v>353</v>
      </c>
      <c r="D51" s="2" t="s">
        <v>246</v>
      </c>
      <c r="E51" s="2" t="s">
        <v>233</v>
      </c>
      <c r="F51" s="14" t="s">
        <v>354</v>
      </c>
      <c r="G51" s="2" t="s">
        <v>355</v>
      </c>
      <c r="H51" s="2" t="s">
        <v>356</v>
      </c>
      <c r="I51" s="2" t="s">
        <v>357</v>
      </c>
      <c r="J51" s="2" t="s">
        <v>89</v>
      </c>
      <c r="K51" s="2" t="s">
        <v>358</v>
      </c>
      <c r="L51" s="15" t="s">
        <v>89</v>
      </c>
      <c r="M51" s="2"/>
    </row>
    <row r="52" spans="1:13" ht="75" customHeight="1">
      <c r="A52" s="2">
        <v>48</v>
      </c>
      <c r="B52" s="2">
        <v>2021</v>
      </c>
      <c r="C52" s="2" t="s">
        <v>359</v>
      </c>
      <c r="D52" s="2" t="s">
        <v>360</v>
      </c>
      <c r="E52" s="2" t="s">
        <v>361</v>
      </c>
      <c r="F52" s="14" t="s">
        <v>362</v>
      </c>
      <c r="G52" s="2" t="s">
        <v>363</v>
      </c>
      <c r="H52" s="2" t="s">
        <v>256</v>
      </c>
      <c r="I52" s="2" t="s">
        <v>236</v>
      </c>
      <c r="J52" s="2" t="s">
        <v>89</v>
      </c>
      <c r="K52" s="2" t="s">
        <v>364</v>
      </c>
      <c r="L52" s="15" t="s">
        <v>89</v>
      </c>
      <c r="M52" s="2"/>
    </row>
    <row r="53" spans="1:13" ht="75" customHeight="1">
      <c r="A53" s="2">
        <v>49</v>
      </c>
      <c r="B53" s="2">
        <v>2025</v>
      </c>
      <c r="C53" s="2" t="s">
        <v>365</v>
      </c>
      <c r="D53" s="2" t="s">
        <v>172</v>
      </c>
      <c r="E53" s="2" t="s">
        <v>366</v>
      </c>
      <c r="F53" s="14" t="s">
        <v>367</v>
      </c>
      <c r="G53" s="2" t="s">
        <v>368</v>
      </c>
      <c r="H53" s="2" t="s">
        <v>95</v>
      </c>
      <c r="I53" s="2" t="s">
        <v>369</v>
      </c>
      <c r="J53" s="2" t="s">
        <v>50</v>
      </c>
      <c r="K53" s="2" t="s">
        <v>370</v>
      </c>
      <c r="L53" s="15" t="s">
        <v>50</v>
      </c>
      <c r="M53" s="2"/>
    </row>
    <row r="54" spans="1:13" ht="75" customHeight="1">
      <c r="A54" s="2">
        <v>50</v>
      </c>
      <c r="B54" s="2">
        <v>2021</v>
      </c>
      <c r="C54" s="2" t="s">
        <v>371</v>
      </c>
      <c r="D54" s="2" t="s">
        <v>372</v>
      </c>
      <c r="E54" s="2" t="s">
        <v>107</v>
      </c>
      <c r="F54" s="14" t="s">
        <v>373</v>
      </c>
      <c r="G54" s="2"/>
      <c r="H54" s="2" t="s">
        <v>57</v>
      </c>
      <c r="I54" s="2" t="s">
        <v>374</v>
      </c>
      <c r="J54" s="2" t="s">
        <v>59</v>
      </c>
      <c r="K54" s="2" t="s">
        <v>375</v>
      </c>
      <c r="L54" s="15" t="s">
        <v>59</v>
      </c>
      <c r="M54" s="2"/>
    </row>
    <row r="55" spans="1:13" ht="75" customHeight="1">
      <c r="A55" s="2">
        <v>51</v>
      </c>
      <c r="B55" s="2">
        <v>2025</v>
      </c>
      <c r="C55" s="2" t="s">
        <v>376</v>
      </c>
      <c r="D55" s="2" t="s">
        <v>377</v>
      </c>
      <c r="E55" s="2" t="s">
        <v>84</v>
      </c>
      <c r="F55" s="14" t="s">
        <v>378</v>
      </c>
      <c r="G55" s="2" t="s">
        <v>379</v>
      </c>
      <c r="H55" s="2" t="s">
        <v>87</v>
      </c>
      <c r="I55" s="2" t="s">
        <v>380</v>
      </c>
      <c r="J55" s="2" t="s">
        <v>89</v>
      </c>
      <c r="K55" s="2" t="s">
        <v>381</v>
      </c>
      <c r="L55" s="15" t="s">
        <v>89</v>
      </c>
      <c r="M55" s="2"/>
    </row>
    <row r="56" spans="1:13" ht="75" customHeight="1">
      <c r="A56" s="2">
        <v>52</v>
      </c>
      <c r="B56" s="2">
        <v>2016</v>
      </c>
      <c r="C56" s="2" t="s">
        <v>382</v>
      </c>
      <c r="D56" s="2" t="s">
        <v>383</v>
      </c>
      <c r="E56" s="2" t="s">
        <v>70</v>
      </c>
      <c r="F56" s="14" t="s">
        <v>384</v>
      </c>
      <c r="G56" s="2"/>
      <c r="H56" s="2" t="s">
        <v>57</v>
      </c>
      <c r="I56" s="2" t="s">
        <v>236</v>
      </c>
      <c r="J56" s="2" t="s">
        <v>59</v>
      </c>
      <c r="K56" s="2" t="s">
        <v>385</v>
      </c>
      <c r="L56" s="15" t="s">
        <v>59</v>
      </c>
      <c r="M56" s="2"/>
    </row>
    <row r="57" spans="1:13" ht="75" customHeight="1">
      <c r="A57" s="2">
        <v>53</v>
      </c>
      <c r="B57" s="2">
        <v>2024</v>
      </c>
      <c r="C57" s="2" t="s">
        <v>386</v>
      </c>
      <c r="D57" s="2" t="s">
        <v>387</v>
      </c>
      <c r="E57" s="2" t="s">
        <v>137</v>
      </c>
      <c r="F57" s="14" t="s">
        <v>388</v>
      </c>
      <c r="G57" s="2" t="s">
        <v>389</v>
      </c>
      <c r="H57" s="2" t="s">
        <v>48</v>
      </c>
      <c r="I57" s="2" t="s">
        <v>390</v>
      </c>
      <c r="J57" s="2" t="s">
        <v>59</v>
      </c>
      <c r="K57" s="2" t="s">
        <v>391</v>
      </c>
      <c r="L57" s="15" t="s">
        <v>59</v>
      </c>
      <c r="M57" s="2"/>
    </row>
    <row r="58" spans="1:13" ht="75" customHeight="1">
      <c r="A58" s="2">
        <v>54</v>
      </c>
      <c r="B58" s="2">
        <v>2025</v>
      </c>
      <c r="C58" s="2" t="s">
        <v>392</v>
      </c>
      <c r="D58" s="2" t="s">
        <v>393</v>
      </c>
      <c r="E58" s="2" t="s">
        <v>240</v>
      </c>
      <c r="F58" s="14" t="s">
        <v>394</v>
      </c>
      <c r="G58" s="2" t="s">
        <v>395</v>
      </c>
      <c r="H58" s="2" t="s">
        <v>95</v>
      </c>
      <c r="I58" s="2" t="s">
        <v>396</v>
      </c>
      <c r="J58" s="2" t="s">
        <v>59</v>
      </c>
      <c r="K58" s="2" t="s">
        <v>397</v>
      </c>
      <c r="L58" s="15" t="s">
        <v>59</v>
      </c>
      <c r="M58" s="2"/>
    </row>
    <row r="59" spans="1:13" ht="75" customHeight="1">
      <c r="A59" s="2">
        <v>55</v>
      </c>
      <c r="B59" s="2">
        <v>2015</v>
      </c>
      <c r="C59" s="2" t="s">
        <v>398</v>
      </c>
      <c r="D59" s="2" t="s">
        <v>106</v>
      </c>
      <c r="E59" s="2" t="s">
        <v>399</v>
      </c>
      <c r="F59" s="14" t="s">
        <v>400</v>
      </c>
      <c r="G59" s="2" t="s">
        <v>401</v>
      </c>
      <c r="H59" s="2" t="s">
        <v>203</v>
      </c>
      <c r="I59" s="2" t="s">
        <v>402</v>
      </c>
      <c r="J59" s="2" t="s">
        <v>89</v>
      </c>
      <c r="K59" s="2" t="s">
        <v>403</v>
      </c>
      <c r="L59" s="15" t="s">
        <v>89</v>
      </c>
      <c r="M59" s="2"/>
    </row>
    <row r="60" spans="1:13" ht="75" customHeight="1">
      <c r="A60" s="2">
        <v>56</v>
      </c>
      <c r="B60" s="2">
        <v>2025</v>
      </c>
      <c r="C60" s="2" t="s">
        <v>404</v>
      </c>
      <c r="D60" s="2" t="s">
        <v>218</v>
      </c>
      <c r="E60" s="2" t="s">
        <v>70</v>
      </c>
      <c r="F60" s="14" t="s">
        <v>405</v>
      </c>
      <c r="G60" s="2" t="s">
        <v>406</v>
      </c>
      <c r="H60" s="2" t="s">
        <v>57</v>
      </c>
      <c r="I60" s="2" t="s">
        <v>407</v>
      </c>
      <c r="J60" s="2" t="s">
        <v>59</v>
      </c>
      <c r="K60" s="2" t="s">
        <v>408</v>
      </c>
      <c r="L60" s="15" t="s">
        <v>59</v>
      </c>
      <c r="M60" s="2"/>
    </row>
    <row r="61" spans="1:13" ht="75" customHeight="1">
      <c r="A61" s="2">
        <v>57</v>
      </c>
      <c r="B61" s="2">
        <v>2020</v>
      </c>
      <c r="C61" s="2" t="s">
        <v>409</v>
      </c>
      <c r="D61" s="2" t="s">
        <v>106</v>
      </c>
      <c r="E61" s="2" t="s">
        <v>158</v>
      </c>
      <c r="F61" s="14" t="s">
        <v>410</v>
      </c>
      <c r="G61" s="2" t="s">
        <v>411</v>
      </c>
      <c r="H61" s="2" t="s">
        <v>48</v>
      </c>
      <c r="I61" s="2" t="s">
        <v>412</v>
      </c>
      <c r="J61" s="2" t="s">
        <v>59</v>
      </c>
      <c r="K61" s="2" t="s">
        <v>413</v>
      </c>
      <c r="L61" s="15" t="s">
        <v>59</v>
      </c>
      <c r="M61" s="2"/>
    </row>
    <row r="62" spans="1:13" ht="75" customHeight="1">
      <c r="A62" s="2">
        <v>58</v>
      </c>
      <c r="B62" s="2">
        <v>2024</v>
      </c>
      <c r="C62" s="2" t="s">
        <v>414</v>
      </c>
      <c r="D62" s="2" t="s">
        <v>415</v>
      </c>
      <c r="E62" s="2" t="s">
        <v>416</v>
      </c>
      <c r="F62" s="14" t="s">
        <v>417</v>
      </c>
      <c r="G62" s="2" t="s">
        <v>418</v>
      </c>
      <c r="H62" s="2" t="s">
        <v>87</v>
      </c>
      <c r="I62" s="2" t="s">
        <v>419</v>
      </c>
      <c r="J62" s="2" t="s">
        <v>50</v>
      </c>
      <c r="K62" s="2" t="s">
        <v>420</v>
      </c>
      <c r="L62" s="15" t="s">
        <v>50</v>
      </c>
      <c r="M62" s="2"/>
    </row>
    <row r="63" spans="1:13" ht="75" customHeight="1">
      <c r="A63" s="2">
        <v>59</v>
      </c>
      <c r="B63" s="2">
        <v>2025</v>
      </c>
      <c r="C63" s="2" t="s">
        <v>421</v>
      </c>
      <c r="D63" s="2" t="s">
        <v>149</v>
      </c>
      <c r="E63" s="2" t="s">
        <v>366</v>
      </c>
      <c r="F63" s="14" t="s">
        <v>422</v>
      </c>
      <c r="G63" s="2" t="s">
        <v>423</v>
      </c>
      <c r="H63" s="2" t="s">
        <v>95</v>
      </c>
      <c r="I63" s="2" t="s">
        <v>424</v>
      </c>
      <c r="J63" s="2" t="s">
        <v>50</v>
      </c>
      <c r="K63" s="2" t="s">
        <v>425</v>
      </c>
      <c r="L63" s="15" t="s">
        <v>50</v>
      </c>
      <c r="M63" s="2"/>
    </row>
    <row r="64" spans="1:13" ht="75" customHeight="1">
      <c r="A64" s="2">
        <v>60</v>
      </c>
      <c r="B64" s="2">
        <v>2023</v>
      </c>
      <c r="C64" s="2" t="s">
        <v>426</v>
      </c>
      <c r="D64" s="2" t="s">
        <v>427</v>
      </c>
      <c r="E64" s="2" t="s">
        <v>428</v>
      </c>
      <c r="F64" s="14" t="s">
        <v>429</v>
      </c>
      <c r="G64" s="2" t="s">
        <v>430</v>
      </c>
      <c r="H64" s="2" t="s">
        <v>431</v>
      </c>
      <c r="I64" s="2" t="s">
        <v>432</v>
      </c>
      <c r="J64" s="2" t="s">
        <v>50</v>
      </c>
      <c r="K64" s="2" t="s">
        <v>433</v>
      </c>
      <c r="L64" s="15" t="s">
        <v>50</v>
      </c>
      <c r="M64" s="2"/>
    </row>
    <row r="65" spans="1:13" ht="75" customHeight="1">
      <c r="A65" s="2">
        <v>61</v>
      </c>
      <c r="B65" s="2">
        <v>2025</v>
      </c>
      <c r="C65" s="2" t="s">
        <v>434</v>
      </c>
      <c r="D65" s="2" t="s">
        <v>53</v>
      </c>
      <c r="E65" s="2" t="s">
        <v>435</v>
      </c>
      <c r="F65" s="14" t="s">
        <v>436</v>
      </c>
      <c r="G65" s="2" t="s">
        <v>437</v>
      </c>
      <c r="H65" s="2" t="s">
        <v>125</v>
      </c>
      <c r="I65" s="2" t="s">
        <v>438</v>
      </c>
      <c r="J65" s="2" t="s">
        <v>89</v>
      </c>
      <c r="K65" s="2" t="s">
        <v>439</v>
      </c>
      <c r="L65" s="15" t="s">
        <v>89</v>
      </c>
      <c r="M65" s="2"/>
    </row>
    <row r="66" spans="1:13" ht="75" customHeight="1">
      <c r="A66" s="2">
        <v>62</v>
      </c>
      <c r="B66" s="2">
        <v>2024</v>
      </c>
      <c r="C66" s="2" t="s">
        <v>440</v>
      </c>
      <c r="D66" s="2" t="s">
        <v>441</v>
      </c>
      <c r="E66" s="2" t="s">
        <v>70</v>
      </c>
      <c r="F66" s="14" t="s">
        <v>442</v>
      </c>
      <c r="G66" s="2" t="s">
        <v>443</v>
      </c>
      <c r="H66" s="2" t="s">
        <v>87</v>
      </c>
      <c r="I66" s="2" t="s">
        <v>444</v>
      </c>
      <c r="J66" s="2" t="s">
        <v>89</v>
      </c>
      <c r="K66" s="2" t="s">
        <v>445</v>
      </c>
      <c r="L66" s="15" t="s">
        <v>89</v>
      </c>
      <c r="M66" s="2"/>
    </row>
    <row r="67" spans="1:13" ht="75" customHeight="1">
      <c r="A67" s="2">
        <v>63</v>
      </c>
      <c r="B67" s="2">
        <v>2021</v>
      </c>
      <c r="C67" s="2" t="s">
        <v>446</v>
      </c>
      <c r="D67" s="2" t="s">
        <v>447</v>
      </c>
      <c r="E67" s="2" t="s">
        <v>448</v>
      </c>
      <c r="F67" s="14" t="s">
        <v>449</v>
      </c>
      <c r="G67" s="2" t="s">
        <v>450</v>
      </c>
      <c r="H67" s="2" t="s">
        <v>87</v>
      </c>
      <c r="I67" s="2" t="s">
        <v>451</v>
      </c>
      <c r="J67" s="2" t="s">
        <v>89</v>
      </c>
      <c r="K67" s="2" t="s">
        <v>452</v>
      </c>
      <c r="L67" s="15" t="s">
        <v>89</v>
      </c>
      <c r="M67" s="2"/>
    </row>
    <row r="68" spans="1:13" ht="75" customHeight="1">
      <c r="A68" s="2">
        <v>64</v>
      </c>
      <c r="B68" s="2">
        <v>2025</v>
      </c>
      <c r="C68" s="2" t="s">
        <v>453</v>
      </c>
      <c r="D68" s="2" t="s">
        <v>454</v>
      </c>
      <c r="E68" s="2" t="s">
        <v>84</v>
      </c>
      <c r="F68" s="14" t="s">
        <v>455</v>
      </c>
      <c r="G68" s="2" t="s">
        <v>456</v>
      </c>
      <c r="H68" s="2" t="s">
        <v>153</v>
      </c>
      <c r="I68" s="2" t="s">
        <v>457</v>
      </c>
      <c r="J68" s="2" t="s">
        <v>89</v>
      </c>
      <c r="K68" s="2" t="s">
        <v>458</v>
      </c>
      <c r="L68" s="15" t="s">
        <v>89</v>
      </c>
      <c r="M68" s="2"/>
    </row>
    <row r="69" spans="1:13" ht="75" customHeight="1">
      <c r="A69" s="2">
        <v>65</v>
      </c>
      <c r="B69" s="2">
        <v>2020</v>
      </c>
      <c r="C69" s="2" t="s">
        <v>459</v>
      </c>
      <c r="D69" s="2" t="s">
        <v>460</v>
      </c>
      <c r="E69" s="2" t="s">
        <v>461</v>
      </c>
      <c r="F69" s="14" t="s">
        <v>462</v>
      </c>
      <c r="G69" s="2"/>
      <c r="H69" s="2" t="s">
        <v>117</v>
      </c>
      <c r="I69" s="2" t="s">
        <v>236</v>
      </c>
      <c r="J69" s="2" t="s">
        <v>59</v>
      </c>
      <c r="K69" s="2" t="s">
        <v>463</v>
      </c>
      <c r="L69" s="15" t="s">
        <v>59</v>
      </c>
      <c r="M69" s="2"/>
    </row>
    <row r="70" spans="1:13" ht="75" customHeight="1">
      <c r="A70" s="2">
        <v>66</v>
      </c>
      <c r="B70" s="2">
        <v>2023</v>
      </c>
      <c r="C70" s="2" t="s">
        <v>464</v>
      </c>
      <c r="D70" s="2" t="s">
        <v>465</v>
      </c>
      <c r="E70" s="2" t="s">
        <v>100</v>
      </c>
      <c r="F70" s="14" t="s">
        <v>466</v>
      </c>
      <c r="G70" s="2" t="s">
        <v>467</v>
      </c>
      <c r="H70" s="2" t="s">
        <v>242</v>
      </c>
      <c r="I70" s="2" t="s">
        <v>468</v>
      </c>
      <c r="J70" s="2" t="s">
        <v>59</v>
      </c>
      <c r="K70" s="2" t="s">
        <v>469</v>
      </c>
      <c r="L70" s="15" t="s">
        <v>59</v>
      </c>
      <c r="M70" s="2"/>
    </row>
    <row r="71" spans="1:13" ht="75" customHeight="1">
      <c r="A71" s="2">
        <v>67</v>
      </c>
      <c r="B71" s="2">
        <v>2023</v>
      </c>
      <c r="C71" s="2" t="s">
        <v>470</v>
      </c>
      <c r="D71" s="2" t="s">
        <v>471</v>
      </c>
      <c r="E71" s="2" t="s">
        <v>84</v>
      </c>
      <c r="F71" s="14" t="s">
        <v>472</v>
      </c>
      <c r="G71" s="2" t="s">
        <v>473</v>
      </c>
      <c r="H71" s="2" t="s">
        <v>87</v>
      </c>
      <c r="I71" s="2" t="s">
        <v>474</v>
      </c>
      <c r="J71" s="2" t="s">
        <v>89</v>
      </c>
      <c r="K71" s="2" t="s">
        <v>475</v>
      </c>
      <c r="L71" s="15" t="s">
        <v>89</v>
      </c>
      <c r="M71" s="2"/>
    </row>
    <row r="72" spans="1:13" ht="75" customHeight="1">
      <c r="A72" s="2">
        <v>68</v>
      </c>
      <c r="B72" s="2">
        <v>2021</v>
      </c>
      <c r="C72" s="2" t="s">
        <v>476</v>
      </c>
      <c r="D72" s="2" t="s">
        <v>342</v>
      </c>
      <c r="E72" s="2" t="s">
        <v>477</v>
      </c>
      <c r="F72" s="14" t="s">
        <v>478</v>
      </c>
      <c r="G72" s="2" t="s">
        <v>479</v>
      </c>
      <c r="H72" s="2" t="s">
        <v>95</v>
      </c>
      <c r="I72" s="2" t="s">
        <v>480</v>
      </c>
      <c r="J72" s="2" t="s">
        <v>59</v>
      </c>
      <c r="K72" s="2" t="s">
        <v>481</v>
      </c>
      <c r="L72" s="15" t="s">
        <v>59</v>
      </c>
      <c r="M72" s="2"/>
    </row>
    <row r="73" spans="1:13" ht="75" customHeight="1">
      <c r="A73" s="2">
        <v>69</v>
      </c>
      <c r="B73" s="2">
        <v>2020</v>
      </c>
      <c r="C73" s="2" t="s">
        <v>482</v>
      </c>
      <c r="D73" s="2" t="s">
        <v>106</v>
      </c>
      <c r="E73" s="2" t="s">
        <v>70</v>
      </c>
      <c r="F73" s="14" t="s">
        <v>483</v>
      </c>
      <c r="G73" s="2" t="s">
        <v>484</v>
      </c>
      <c r="H73" s="2" t="s">
        <v>221</v>
      </c>
      <c r="I73" s="2" t="s">
        <v>485</v>
      </c>
      <c r="J73" s="2" t="s">
        <v>59</v>
      </c>
      <c r="K73" s="2" t="s">
        <v>486</v>
      </c>
      <c r="L73" s="15" t="s">
        <v>59</v>
      </c>
      <c r="M73" s="2"/>
    </row>
    <row r="74" spans="1:13" ht="75" customHeight="1">
      <c r="A74" s="2">
        <v>70</v>
      </c>
      <c r="B74" s="2">
        <v>2025</v>
      </c>
      <c r="C74" s="2" t="s">
        <v>487</v>
      </c>
      <c r="D74" s="2" t="s">
        <v>488</v>
      </c>
      <c r="E74" s="2" t="s">
        <v>240</v>
      </c>
      <c r="F74" s="14" t="s">
        <v>489</v>
      </c>
      <c r="G74" s="2" t="s">
        <v>490</v>
      </c>
      <c r="H74" s="2" t="s">
        <v>95</v>
      </c>
      <c r="I74" s="2" t="s">
        <v>491</v>
      </c>
      <c r="J74" s="2" t="s">
        <v>59</v>
      </c>
      <c r="K74" s="2" t="s">
        <v>492</v>
      </c>
      <c r="L74" s="15" t="s">
        <v>59</v>
      </c>
      <c r="M74" s="2"/>
    </row>
    <row r="75" spans="1:13" ht="75" customHeight="1">
      <c r="A75" s="2">
        <v>71</v>
      </c>
      <c r="B75" s="2">
        <v>2016</v>
      </c>
      <c r="C75" s="2" t="s">
        <v>493</v>
      </c>
      <c r="D75" s="2" t="s">
        <v>494</v>
      </c>
      <c r="E75" s="2" t="s">
        <v>84</v>
      </c>
      <c r="F75" s="14" t="s">
        <v>495</v>
      </c>
      <c r="G75" s="2" t="s">
        <v>496</v>
      </c>
      <c r="H75" s="2" t="s">
        <v>48</v>
      </c>
      <c r="I75" s="2" t="s">
        <v>497</v>
      </c>
      <c r="J75" s="2" t="s">
        <v>89</v>
      </c>
      <c r="K75" s="2" t="s">
        <v>498</v>
      </c>
      <c r="L75" s="15" t="s">
        <v>89</v>
      </c>
      <c r="M75" s="2"/>
    </row>
    <row r="76" spans="1:13" ht="75" customHeight="1">
      <c r="A76" s="2">
        <v>72</v>
      </c>
      <c r="B76" s="2">
        <v>2022</v>
      </c>
      <c r="C76" s="2" t="s">
        <v>499</v>
      </c>
      <c r="D76" s="2" t="s">
        <v>500</v>
      </c>
      <c r="E76" s="2" t="s">
        <v>158</v>
      </c>
      <c r="F76" s="14" t="s">
        <v>501</v>
      </c>
      <c r="G76" s="2" t="s">
        <v>502</v>
      </c>
      <c r="H76" s="2" t="s">
        <v>503</v>
      </c>
      <c r="I76" s="2" t="s">
        <v>504</v>
      </c>
      <c r="J76" s="2" t="s">
        <v>59</v>
      </c>
      <c r="K76" s="2" t="s">
        <v>505</v>
      </c>
      <c r="L76" s="15" t="s">
        <v>59</v>
      </c>
      <c r="M76" s="2"/>
    </row>
    <row r="77" spans="1:13" ht="75" customHeight="1">
      <c r="A77" s="2">
        <v>73</v>
      </c>
      <c r="B77" s="2">
        <v>2025</v>
      </c>
      <c r="C77" s="2" t="s">
        <v>506</v>
      </c>
      <c r="D77" s="2" t="s">
        <v>246</v>
      </c>
      <c r="E77" s="2" t="s">
        <v>507</v>
      </c>
      <c r="F77" s="14" t="s">
        <v>508</v>
      </c>
      <c r="G77" s="2" t="s">
        <v>509</v>
      </c>
      <c r="H77" s="2" t="s">
        <v>87</v>
      </c>
      <c r="I77" s="2" t="s">
        <v>510</v>
      </c>
      <c r="J77" s="2" t="s">
        <v>89</v>
      </c>
      <c r="K77" s="2" t="s">
        <v>511</v>
      </c>
      <c r="L77" s="15" t="s">
        <v>89</v>
      </c>
      <c r="M77" s="2"/>
    </row>
    <row r="78" spans="1:13" ht="75" customHeight="1">
      <c r="A78" s="2">
        <v>74</v>
      </c>
      <c r="B78" s="2">
        <v>2024</v>
      </c>
      <c r="C78" s="2" t="s">
        <v>512</v>
      </c>
      <c r="D78" s="2" t="s">
        <v>513</v>
      </c>
      <c r="E78" s="2" t="s">
        <v>130</v>
      </c>
      <c r="F78" s="14" t="s">
        <v>514</v>
      </c>
      <c r="G78" s="2" t="s">
        <v>515</v>
      </c>
      <c r="H78" s="2" t="s">
        <v>516</v>
      </c>
      <c r="I78" s="2" t="s">
        <v>517</v>
      </c>
      <c r="J78" s="2" t="s">
        <v>89</v>
      </c>
      <c r="K78" s="2" t="s">
        <v>518</v>
      </c>
      <c r="L78" s="15" t="s">
        <v>89</v>
      </c>
      <c r="M78" s="2"/>
    </row>
    <row r="79" spans="1:13" ht="75" customHeight="1">
      <c r="A79" s="2">
        <v>75</v>
      </c>
      <c r="B79" s="2">
        <v>2021</v>
      </c>
      <c r="C79" s="2" t="s">
        <v>519</v>
      </c>
      <c r="D79" s="2" t="s">
        <v>520</v>
      </c>
      <c r="E79" s="2" t="s">
        <v>521</v>
      </c>
      <c r="F79" s="14" t="s">
        <v>522</v>
      </c>
      <c r="G79" s="2" t="s">
        <v>523</v>
      </c>
      <c r="H79" s="2" t="s">
        <v>524</v>
      </c>
      <c r="I79" s="2" t="s">
        <v>525</v>
      </c>
      <c r="J79" s="2" t="s">
        <v>50</v>
      </c>
      <c r="K79" s="2" t="s">
        <v>526</v>
      </c>
      <c r="L79" s="15" t="s">
        <v>50</v>
      </c>
      <c r="M79" s="2"/>
    </row>
    <row r="80" spans="1:13" ht="75" customHeight="1">
      <c r="A80" s="2">
        <v>76</v>
      </c>
      <c r="B80" s="2">
        <v>2020</v>
      </c>
      <c r="C80" s="2" t="s">
        <v>527</v>
      </c>
      <c r="D80" s="2" t="s">
        <v>528</v>
      </c>
      <c r="E80" s="2" t="s">
        <v>84</v>
      </c>
      <c r="F80" s="14" t="s">
        <v>529</v>
      </c>
      <c r="G80" s="2" t="s">
        <v>530</v>
      </c>
      <c r="H80" s="2" t="s">
        <v>203</v>
      </c>
      <c r="I80" s="2" t="s">
        <v>531</v>
      </c>
      <c r="J80" s="2" t="s">
        <v>59</v>
      </c>
      <c r="K80" s="2" t="s">
        <v>532</v>
      </c>
      <c r="L80" s="15" t="s">
        <v>59</v>
      </c>
      <c r="M80" s="2"/>
    </row>
    <row r="81" spans="1:13" ht="75" customHeight="1">
      <c r="A81" s="2">
        <v>77</v>
      </c>
      <c r="B81" s="2">
        <v>2023</v>
      </c>
      <c r="C81" s="2" t="s">
        <v>533</v>
      </c>
      <c r="D81" s="2" t="s">
        <v>534</v>
      </c>
      <c r="E81" s="2" t="s">
        <v>84</v>
      </c>
      <c r="F81" s="14" t="s">
        <v>535</v>
      </c>
      <c r="G81" s="2" t="s">
        <v>536</v>
      </c>
      <c r="H81" s="2" t="s">
        <v>203</v>
      </c>
      <c r="I81" s="2" t="s">
        <v>537</v>
      </c>
      <c r="J81" s="2" t="s">
        <v>89</v>
      </c>
      <c r="K81" s="2" t="s">
        <v>538</v>
      </c>
      <c r="L81" s="15" t="s">
        <v>89</v>
      </c>
      <c r="M81" s="2"/>
    </row>
    <row r="82" spans="1:13" ht="75" customHeight="1">
      <c r="A82" s="2">
        <v>78</v>
      </c>
      <c r="B82" s="2">
        <v>2020</v>
      </c>
      <c r="C82" s="2" t="s">
        <v>539</v>
      </c>
      <c r="D82" s="2" t="s">
        <v>106</v>
      </c>
      <c r="E82" s="2" t="s">
        <v>84</v>
      </c>
      <c r="F82" s="14" t="s">
        <v>540</v>
      </c>
      <c r="G82" s="2" t="s">
        <v>541</v>
      </c>
      <c r="H82" s="2" t="s">
        <v>87</v>
      </c>
      <c r="I82" s="2" t="s">
        <v>542</v>
      </c>
      <c r="J82" s="2" t="s">
        <v>89</v>
      </c>
      <c r="K82" s="2" t="s">
        <v>543</v>
      </c>
      <c r="L82" s="15" t="s">
        <v>89</v>
      </c>
      <c r="M82" s="2"/>
    </row>
    <row r="83" spans="1:13" ht="75" customHeight="1">
      <c r="A83" s="2">
        <v>79</v>
      </c>
      <c r="B83" s="2">
        <v>2018</v>
      </c>
      <c r="C83" s="2" t="s">
        <v>544</v>
      </c>
      <c r="D83" s="2" t="s">
        <v>106</v>
      </c>
      <c r="E83" s="2" t="s">
        <v>70</v>
      </c>
      <c r="F83" s="14" t="s">
        <v>545</v>
      </c>
      <c r="G83" s="2" t="s">
        <v>546</v>
      </c>
      <c r="H83" s="2" t="s">
        <v>87</v>
      </c>
      <c r="I83" s="2" t="s">
        <v>547</v>
      </c>
      <c r="J83" s="2" t="s">
        <v>59</v>
      </c>
      <c r="K83" s="2" t="s">
        <v>548</v>
      </c>
      <c r="L83" s="15" t="s">
        <v>59</v>
      </c>
      <c r="M83" s="2"/>
    </row>
    <row r="84" spans="1:13" ht="75" customHeight="1">
      <c r="A84" s="2">
        <v>80</v>
      </c>
      <c r="B84" s="2">
        <v>2025</v>
      </c>
      <c r="C84" s="2" t="s">
        <v>549</v>
      </c>
      <c r="D84" s="2" t="s">
        <v>550</v>
      </c>
      <c r="E84" s="2" t="s">
        <v>84</v>
      </c>
      <c r="F84" s="14" t="s">
        <v>551</v>
      </c>
      <c r="G84" s="2" t="s">
        <v>552</v>
      </c>
      <c r="H84" s="2" t="s">
        <v>87</v>
      </c>
      <c r="I84" s="2" t="s">
        <v>553</v>
      </c>
      <c r="J84" s="2" t="s">
        <v>89</v>
      </c>
      <c r="K84" s="2" t="s">
        <v>554</v>
      </c>
      <c r="L84" s="15" t="s">
        <v>89</v>
      </c>
      <c r="M84" s="2"/>
    </row>
    <row r="85" spans="1:13" ht="75" customHeight="1">
      <c r="A85" s="2">
        <v>81</v>
      </c>
      <c r="B85" s="2">
        <v>2020</v>
      </c>
      <c r="C85" s="2" t="s">
        <v>555</v>
      </c>
      <c r="D85" s="2" t="s">
        <v>106</v>
      </c>
      <c r="E85" s="2" t="s">
        <v>84</v>
      </c>
      <c r="F85" s="14" t="s">
        <v>556</v>
      </c>
      <c r="G85" s="2" t="s">
        <v>557</v>
      </c>
      <c r="H85" s="2" t="s">
        <v>87</v>
      </c>
      <c r="I85" s="2" t="s">
        <v>558</v>
      </c>
      <c r="J85" s="2" t="s">
        <v>89</v>
      </c>
      <c r="K85" s="2" t="s">
        <v>559</v>
      </c>
      <c r="L85" s="15" t="s">
        <v>89</v>
      </c>
      <c r="M85" s="2"/>
    </row>
    <row r="86" spans="1:13" ht="75" customHeight="1">
      <c r="A86" s="2">
        <v>82</v>
      </c>
      <c r="B86" s="2">
        <v>2011</v>
      </c>
      <c r="C86" s="2" t="s">
        <v>560</v>
      </c>
      <c r="D86" s="2"/>
      <c r="E86" s="2" t="s">
        <v>561</v>
      </c>
      <c r="F86" s="14" t="s">
        <v>562</v>
      </c>
      <c r="G86" s="2"/>
      <c r="H86" s="2" t="s">
        <v>57</v>
      </c>
      <c r="I86" s="2" t="s">
        <v>236</v>
      </c>
      <c r="J86" s="2" t="s">
        <v>89</v>
      </c>
      <c r="K86" s="2" t="s">
        <v>563</v>
      </c>
      <c r="L86" s="15" t="s">
        <v>89</v>
      </c>
      <c r="M86" s="2"/>
    </row>
    <row r="87" spans="1:13" ht="75" customHeight="1">
      <c r="A87" s="2">
        <v>83</v>
      </c>
      <c r="B87" s="2">
        <v>2016</v>
      </c>
      <c r="C87" s="2" t="s">
        <v>564</v>
      </c>
      <c r="D87" s="2" t="s">
        <v>565</v>
      </c>
      <c r="E87" s="2" t="s">
        <v>566</v>
      </c>
      <c r="F87" s="14" t="s">
        <v>567</v>
      </c>
      <c r="G87" s="2" t="s">
        <v>568</v>
      </c>
      <c r="H87" s="2" t="s">
        <v>87</v>
      </c>
      <c r="I87" s="2" t="s">
        <v>569</v>
      </c>
      <c r="J87" s="2" t="s">
        <v>89</v>
      </c>
      <c r="K87" s="2" t="s">
        <v>570</v>
      </c>
      <c r="L87" s="15" t="s">
        <v>89</v>
      </c>
      <c r="M87" s="2"/>
    </row>
    <row r="88" spans="1:13" ht="75" customHeight="1">
      <c r="A88" s="2">
        <v>84</v>
      </c>
      <c r="B88" s="2">
        <v>2019</v>
      </c>
      <c r="C88" s="2" t="s">
        <v>571</v>
      </c>
      <c r="D88" s="2" t="s">
        <v>106</v>
      </c>
      <c r="E88" s="2" t="s">
        <v>84</v>
      </c>
      <c r="F88" s="14" t="s">
        <v>572</v>
      </c>
      <c r="G88" s="2" t="s">
        <v>573</v>
      </c>
      <c r="H88" s="2" t="s">
        <v>87</v>
      </c>
      <c r="I88" s="2" t="s">
        <v>574</v>
      </c>
      <c r="J88" s="2" t="s">
        <v>89</v>
      </c>
      <c r="K88" s="2" t="s">
        <v>575</v>
      </c>
      <c r="L88" s="15" t="s">
        <v>89</v>
      </c>
      <c r="M88" s="2"/>
    </row>
    <row r="89" spans="1:13" ht="75" customHeight="1">
      <c r="A89" s="2">
        <v>85</v>
      </c>
      <c r="B89" s="2">
        <v>2024</v>
      </c>
      <c r="C89" s="2" t="s">
        <v>576</v>
      </c>
      <c r="D89" s="2" t="s">
        <v>577</v>
      </c>
      <c r="E89" s="2" t="s">
        <v>578</v>
      </c>
      <c r="F89" s="14" t="s">
        <v>579</v>
      </c>
      <c r="G89" s="2" t="s">
        <v>580</v>
      </c>
      <c r="H89" s="2" t="s">
        <v>153</v>
      </c>
      <c r="I89" s="2" t="s">
        <v>581</v>
      </c>
      <c r="J89" s="2" t="s">
        <v>50</v>
      </c>
      <c r="K89" s="2" t="s">
        <v>582</v>
      </c>
      <c r="L89" s="15" t="s">
        <v>50</v>
      </c>
      <c r="M89" s="2"/>
    </row>
    <row r="90" spans="1:13" ht="75" customHeight="1">
      <c r="A90" s="2">
        <v>86</v>
      </c>
      <c r="B90" s="2">
        <v>2020</v>
      </c>
      <c r="C90" s="2" t="s">
        <v>583</v>
      </c>
      <c r="D90" s="2" t="s">
        <v>584</v>
      </c>
      <c r="E90" s="2" t="s">
        <v>507</v>
      </c>
      <c r="F90" s="14" t="s">
        <v>585</v>
      </c>
      <c r="G90" s="2" t="s">
        <v>586</v>
      </c>
      <c r="H90" s="2" t="s">
        <v>153</v>
      </c>
      <c r="I90" s="2" t="s">
        <v>587</v>
      </c>
      <c r="J90" s="2" t="s">
        <v>89</v>
      </c>
      <c r="K90" s="2" t="s">
        <v>588</v>
      </c>
      <c r="L90" s="15" t="s">
        <v>89</v>
      </c>
      <c r="M90" s="2"/>
    </row>
    <row r="91" spans="1:13" ht="75" customHeight="1">
      <c r="A91" s="2">
        <v>87</v>
      </c>
      <c r="B91" s="2">
        <v>2024</v>
      </c>
      <c r="C91" s="2" t="s">
        <v>589</v>
      </c>
      <c r="D91" s="2" t="s">
        <v>590</v>
      </c>
      <c r="E91" s="2" t="s">
        <v>591</v>
      </c>
      <c r="F91" s="14" t="s">
        <v>592</v>
      </c>
      <c r="G91" s="2" t="s">
        <v>593</v>
      </c>
      <c r="H91" s="2" t="s">
        <v>594</v>
      </c>
      <c r="I91" s="2" t="s">
        <v>236</v>
      </c>
      <c r="J91" s="2" t="s">
        <v>50</v>
      </c>
      <c r="K91" s="2" t="s">
        <v>595</v>
      </c>
      <c r="L91" s="15" t="s">
        <v>50</v>
      </c>
      <c r="M91" s="2"/>
    </row>
    <row r="92" spans="1:13" ht="75" customHeight="1">
      <c r="A92" s="2">
        <v>88</v>
      </c>
      <c r="B92" s="2">
        <v>2024</v>
      </c>
      <c r="C92" s="2" t="s">
        <v>596</v>
      </c>
      <c r="D92" s="2" t="s">
        <v>232</v>
      </c>
      <c r="E92" s="2" t="s">
        <v>70</v>
      </c>
      <c r="F92" s="19" t="s">
        <v>597</v>
      </c>
      <c r="G92" s="2" t="s">
        <v>598</v>
      </c>
      <c r="H92" s="2" t="s">
        <v>153</v>
      </c>
      <c r="I92" s="2" t="s">
        <v>236</v>
      </c>
      <c r="J92" s="2" t="s">
        <v>59</v>
      </c>
      <c r="K92" s="2" t="s">
        <v>599</v>
      </c>
      <c r="L92" s="15" t="s">
        <v>59</v>
      </c>
      <c r="M92" s="2"/>
    </row>
    <row r="93" spans="1:13" ht="75" customHeight="1">
      <c r="A93" s="2">
        <v>89</v>
      </c>
      <c r="B93" s="2">
        <v>2022</v>
      </c>
      <c r="C93" s="2" t="s">
        <v>600</v>
      </c>
      <c r="D93" s="2" t="s">
        <v>601</v>
      </c>
      <c r="E93" s="2" t="s">
        <v>602</v>
      </c>
      <c r="F93" s="14" t="s">
        <v>603</v>
      </c>
      <c r="G93" s="2" t="s">
        <v>604</v>
      </c>
      <c r="H93" s="2" t="s">
        <v>87</v>
      </c>
      <c r="I93" s="2" t="s">
        <v>605</v>
      </c>
      <c r="J93" s="2" t="s">
        <v>89</v>
      </c>
      <c r="K93" s="2" t="s">
        <v>606</v>
      </c>
      <c r="L93" s="15" t="s">
        <v>89</v>
      </c>
      <c r="M93" s="2"/>
    </row>
    <row r="94" spans="1:13" ht="75" customHeight="1">
      <c r="A94" s="2">
        <v>90</v>
      </c>
      <c r="B94" s="2">
        <v>2023</v>
      </c>
      <c r="C94" s="2" t="s">
        <v>607</v>
      </c>
      <c r="D94" s="2" t="s">
        <v>342</v>
      </c>
      <c r="E94" s="2" t="s">
        <v>608</v>
      </c>
      <c r="F94" s="14" t="s">
        <v>609</v>
      </c>
      <c r="G94" s="2" t="s">
        <v>610</v>
      </c>
      <c r="H94" s="2" t="s">
        <v>302</v>
      </c>
      <c r="I94" s="2" t="s">
        <v>611</v>
      </c>
      <c r="J94" s="2" t="s">
        <v>59</v>
      </c>
      <c r="K94" s="2" t="s">
        <v>612</v>
      </c>
      <c r="L94" s="15" t="s">
        <v>59</v>
      </c>
      <c r="M94" s="2"/>
    </row>
    <row r="95" spans="1:13" ht="75" customHeight="1">
      <c r="A95" s="2">
        <v>91</v>
      </c>
      <c r="B95" s="2">
        <v>2018</v>
      </c>
      <c r="C95" s="2" t="s">
        <v>613</v>
      </c>
      <c r="D95" s="2" t="s">
        <v>614</v>
      </c>
      <c r="E95" s="2" t="s">
        <v>615</v>
      </c>
      <c r="F95" s="14" t="s">
        <v>616</v>
      </c>
      <c r="G95" s="2" t="s">
        <v>617</v>
      </c>
      <c r="H95" s="2" t="s">
        <v>87</v>
      </c>
      <c r="I95" s="2" t="s">
        <v>618</v>
      </c>
      <c r="J95" s="2" t="s">
        <v>59</v>
      </c>
      <c r="K95" s="2" t="s">
        <v>619</v>
      </c>
      <c r="L95" s="15" t="s">
        <v>59</v>
      </c>
      <c r="M95" s="2"/>
    </row>
    <row r="96" spans="1:13" ht="75" customHeight="1">
      <c r="A96" s="2">
        <v>92</v>
      </c>
      <c r="B96" s="2">
        <v>2023</v>
      </c>
      <c r="C96" s="2" t="s">
        <v>620</v>
      </c>
      <c r="D96" s="2" t="s">
        <v>218</v>
      </c>
      <c r="E96" s="2" t="s">
        <v>621</v>
      </c>
      <c r="F96" s="14" t="s">
        <v>622</v>
      </c>
      <c r="G96" s="2" t="s">
        <v>623</v>
      </c>
      <c r="H96" s="2" t="s">
        <v>624</v>
      </c>
      <c r="I96" s="2" t="s">
        <v>625</v>
      </c>
      <c r="J96" s="2" t="s">
        <v>59</v>
      </c>
      <c r="K96" s="2" t="s">
        <v>626</v>
      </c>
      <c r="L96" s="15" t="s">
        <v>59</v>
      </c>
      <c r="M96" s="2"/>
    </row>
    <row r="97" spans="1:13" ht="75" customHeight="1">
      <c r="A97" s="2">
        <v>93</v>
      </c>
      <c r="B97" s="2">
        <v>2024</v>
      </c>
      <c r="C97" s="2" t="s">
        <v>627</v>
      </c>
      <c r="D97" s="2" t="s">
        <v>628</v>
      </c>
      <c r="E97" s="2" t="s">
        <v>629</v>
      </c>
      <c r="F97" s="14" t="s">
        <v>630</v>
      </c>
      <c r="G97" s="2" t="s">
        <v>631</v>
      </c>
      <c r="H97" s="2" t="s">
        <v>203</v>
      </c>
      <c r="I97" s="2" t="s">
        <v>632</v>
      </c>
      <c r="J97" s="2" t="s">
        <v>59</v>
      </c>
      <c r="K97" s="2" t="s">
        <v>633</v>
      </c>
      <c r="L97" s="15" t="s">
        <v>59</v>
      </c>
      <c r="M97" s="2"/>
    </row>
    <row r="98" spans="1:13" ht="75" customHeight="1">
      <c r="A98" s="2">
        <v>94</v>
      </c>
      <c r="B98" s="2">
        <v>2023</v>
      </c>
      <c r="C98" s="2" t="s">
        <v>634</v>
      </c>
      <c r="D98" s="2" t="s">
        <v>635</v>
      </c>
      <c r="E98" s="2" t="s">
        <v>636</v>
      </c>
      <c r="F98" s="14" t="s">
        <v>637</v>
      </c>
      <c r="G98" s="2" t="s">
        <v>638</v>
      </c>
      <c r="H98" s="2" t="s">
        <v>57</v>
      </c>
      <c r="I98" s="2" t="s">
        <v>236</v>
      </c>
      <c r="J98" s="2" t="s">
        <v>89</v>
      </c>
      <c r="K98" s="2" t="s">
        <v>639</v>
      </c>
      <c r="L98" s="15" t="s">
        <v>89</v>
      </c>
      <c r="M98" s="2"/>
    </row>
    <row r="99" spans="1:13" ht="75" customHeight="1">
      <c r="A99" s="2">
        <v>95</v>
      </c>
      <c r="B99" s="2">
        <v>2024</v>
      </c>
      <c r="C99" s="2" t="s">
        <v>640</v>
      </c>
      <c r="D99" s="2" t="s">
        <v>641</v>
      </c>
      <c r="E99" s="2" t="s">
        <v>642</v>
      </c>
      <c r="F99" s="14" t="s">
        <v>643</v>
      </c>
      <c r="G99" s="2" t="s">
        <v>644</v>
      </c>
      <c r="H99" s="2" t="s">
        <v>645</v>
      </c>
      <c r="I99" s="2" t="s">
        <v>646</v>
      </c>
      <c r="J99" s="2" t="s">
        <v>50</v>
      </c>
      <c r="K99" s="2" t="s">
        <v>647</v>
      </c>
      <c r="L99" s="15" t="s">
        <v>50</v>
      </c>
      <c r="M99" s="2"/>
    </row>
    <row r="100" spans="1:13" ht="75" customHeight="1">
      <c r="A100" s="2">
        <v>96</v>
      </c>
      <c r="B100" s="2">
        <v>2023</v>
      </c>
      <c r="C100" s="2" t="s">
        <v>648</v>
      </c>
      <c r="D100" s="2" t="s">
        <v>649</v>
      </c>
      <c r="E100" s="2" t="s">
        <v>233</v>
      </c>
      <c r="F100" s="14" t="s">
        <v>650</v>
      </c>
      <c r="G100" s="2" t="s">
        <v>651</v>
      </c>
      <c r="H100" s="2" t="s">
        <v>221</v>
      </c>
      <c r="I100" s="2" t="s">
        <v>652</v>
      </c>
      <c r="J100" s="2" t="s">
        <v>89</v>
      </c>
      <c r="K100" s="2" t="s">
        <v>653</v>
      </c>
      <c r="L100" s="15" t="s">
        <v>89</v>
      </c>
      <c r="M100" s="2"/>
    </row>
    <row r="101" spans="1:13" ht="75" customHeight="1">
      <c r="A101" s="2">
        <v>97</v>
      </c>
      <c r="B101" s="2">
        <v>2019</v>
      </c>
      <c r="C101" s="2" t="s">
        <v>654</v>
      </c>
      <c r="D101" s="2" t="s">
        <v>655</v>
      </c>
      <c r="E101" s="2" t="s">
        <v>656</v>
      </c>
      <c r="F101" s="14" t="s">
        <v>657</v>
      </c>
      <c r="G101" s="2" t="s">
        <v>658</v>
      </c>
      <c r="H101" s="2" t="s">
        <v>48</v>
      </c>
      <c r="I101" s="2" t="s">
        <v>659</v>
      </c>
      <c r="J101" s="2" t="s">
        <v>50</v>
      </c>
      <c r="K101" s="2" t="s">
        <v>660</v>
      </c>
      <c r="L101" s="15" t="s">
        <v>50</v>
      </c>
      <c r="M101" s="2"/>
    </row>
    <row r="102" spans="1:13" ht="75" customHeight="1">
      <c r="A102" s="2">
        <v>98</v>
      </c>
      <c r="B102" s="2">
        <v>2018</v>
      </c>
      <c r="C102" s="2" t="s">
        <v>661</v>
      </c>
      <c r="D102" s="2" t="s">
        <v>662</v>
      </c>
      <c r="E102" s="2" t="s">
        <v>663</v>
      </c>
      <c r="F102" s="14" t="s">
        <v>664</v>
      </c>
      <c r="G102" s="2" t="s">
        <v>665</v>
      </c>
      <c r="H102" s="2" t="s">
        <v>125</v>
      </c>
      <c r="I102" s="2" t="s">
        <v>666</v>
      </c>
      <c r="J102" s="2" t="s">
        <v>50</v>
      </c>
      <c r="K102" s="2" t="s">
        <v>667</v>
      </c>
      <c r="L102" s="15" t="s">
        <v>50</v>
      </c>
      <c r="M102" s="2"/>
    </row>
    <row r="103" spans="1:13" ht="75" customHeight="1">
      <c r="A103" s="2">
        <v>99</v>
      </c>
      <c r="B103" s="2">
        <v>2023</v>
      </c>
      <c r="C103" s="2" t="s">
        <v>668</v>
      </c>
      <c r="D103" s="2" t="s">
        <v>669</v>
      </c>
      <c r="E103" s="2" t="s">
        <v>670</v>
      </c>
      <c r="F103" s="14" t="s">
        <v>671</v>
      </c>
      <c r="G103" s="2"/>
      <c r="H103" s="2" t="s">
        <v>95</v>
      </c>
      <c r="I103" s="2" t="s">
        <v>672</v>
      </c>
      <c r="J103" s="2" t="s">
        <v>59</v>
      </c>
      <c r="K103" s="2" t="s">
        <v>673</v>
      </c>
      <c r="L103" s="15" t="s">
        <v>59</v>
      </c>
      <c r="M103" s="2"/>
    </row>
    <row r="104" spans="1:13" ht="75" customHeight="1">
      <c r="A104" s="2">
        <v>100</v>
      </c>
      <c r="B104" s="2">
        <v>2024</v>
      </c>
      <c r="C104" s="2" t="s">
        <v>674</v>
      </c>
      <c r="D104" s="2" t="s">
        <v>601</v>
      </c>
      <c r="E104" s="2" t="s">
        <v>84</v>
      </c>
      <c r="F104" s="14" t="s">
        <v>675</v>
      </c>
      <c r="G104" s="2" t="s">
        <v>676</v>
      </c>
      <c r="H104" s="2" t="s">
        <v>87</v>
      </c>
      <c r="I104" s="2" t="s">
        <v>677</v>
      </c>
      <c r="J104" s="2" t="s">
        <v>89</v>
      </c>
      <c r="K104" s="2" t="s">
        <v>678</v>
      </c>
      <c r="L104" s="15" t="s">
        <v>89</v>
      </c>
      <c r="M104" s="2"/>
    </row>
  </sheetData>
  <autoFilter ref="A4:M104"/>
  <dataValidations count="1">
    <dataValidation type="list" allowBlank="1" sqref="L5:L104">
      <formula1>"A,B,C"</formula1>
      <formula2>0</formula2>
    </dataValidation>
  </dataValidations>
  <hyperlinks>
    <hyperlink ref="F5" r:id="rId1"/>
    <hyperlink ref="F6" r:id="rId2"/>
    <hyperlink ref="F7" r:id="rId3"/>
    <hyperlink ref="F8" r:id="rId4"/>
    <hyperlink ref="F9" r:id="rId5"/>
    <hyperlink ref="F10" r:id="rId6"/>
    <hyperlink ref="F11" r:id="rId7"/>
    <hyperlink ref="F12" r:id="rId8"/>
    <hyperlink ref="F13" r:id="rId9"/>
    <hyperlink ref="F14" r:id="rId10"/>
    <hyperlink ref="F15" r:id="rId11"/>
    <hyperlink ref="F16" r:id="rId12"/>
    <hyperlink ref="F17" r:id="rId13"/>
    <hyperlink ref="F18" r:id="rId14"/>
    <hyperlink ref="F19" r:id="rId15"/>
    <hyperlink ref="F20" r:id="rId16"/>
    <hyperlink ref="F21" r:id="rId17"/>
    <hyperlink ref="F22" r:id="rId18"/>
    <hyperlink ref="F23" r:id="rId19"/>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 ref="F47" r:id="rId43"/>
    <hyperlink ref="F48" r:id="rId44"/>
    <hyperlink ref="F49" r:id="rId45"/>
    <hyperlink ref="F50" r:id="rId46"/>
    <hyperlink ref="F51" r:id="rId47"/>
    <hyperlink ref="F52" r:id="rId48"/>
    <hyperlink ref="F53" r:id="rId49"/>
    <hyperlink ref="F54" r:id="rId50"/>
    <hyperlink ref="F55" r:id="rId51"/>
    <hyperlink ref="F56" r:id="rId52"/>
    <hyperlink ref="F57" r:id="rId53"/>
    <hyperlink ref="F58" r:id="rId54"/>
    <hyperlink ref="F59" r:id="rId55"/>
    <hyperlink ref="F60" r:id="rId56"/>
    <hyperlink ref="F61" r:id="rId57"/>
    <hyperlink ref="F62" r:id="rId58"/>
    <hyperlink ref="F63" r:id="rId59"/>
    <hyperlink ref="F64" r:id="rId60"/>
    <hyperlink ref="F65" r:id="rId61"/>
    <hyperlink ref="F66" r:id="rId62"/>
    <hyperlink ref="F67" r:id="rId63"/>
    <hyperlink ref="F68" r:id="rId64"/>
    <hyperlink ref="F69" r:id="rId65"/>
    <hyperlink ref="F70" r:id="rId66"/>
    <hyperlink ref="F71" r:id="rId67"/>
    <hyperlink ref="F72" r:id="rId68"/>
    <hyperlink ref="F73" r:id="rId69"/>
    <hyperlink ref="F74" r:id="rId70"/>
    <hyperlink ref="F75" r:id="rId71"/>
    <hyperlink ref="F76" r:id="rId72"/>
    <hyperlink ref="F77" r:id="rId73"/>
    <hyperlink ref="F78" r:id="rId74"/>
    <hyperlink ref="F79" r:id="rId75"/>
    <hyperlink ref="F80" r:id="rId76"/>
    <hyperlink ref="F81" r:id="rId77"/>
    <hyperlink ref="F82" r:id="rId78"/>
    <hyperlink ref="F83" r:id="rId79"/>
    <hyperlink ref="F84" r:id="rId80"/>
    <hyperlink ref="F85" r:id="rId81"/>
    <hyperlink ref="F86" r:id="rId82"/>
    <hyperlink ref="F87" r:id="rId83"/>
    <hyperlink ref="F88" r:id="rId84"/>
    <hyperlink ref="F89" r:id="rId85"/>
    <hyperlink ref="F90" r:id="rId86"/>
    <hyperlink ref="F91" r:id="rId87"/>
    <hyperlink ref="F92" r:id="rId88"/>
    <hyperlink ref="F93" r:id="rId89"/>
    <hyperlink ref="F94" r:id="rId90"/>
    <hyperlink ref="F95" r:id="rId91"/>
    <hyperlink ref="F96" r:id="rId92"/>
    <hyperlink ref="F97" r:id="rId93"/>
    <hyperlink ref="F98" r:id="rId94"/>
    <hyperlink ref="F99" r:id="rId95"/>
    <hyperlink ref="F100" r:id="rId96"/>
    <hyperlink ref="F101" r:id="rId97"/>
    <hyperlink ref="F102" r:id="rId98"/>
    <hyperlink ref="F103" r:id="rId99"/>
    <hyperlink ref="F104" r:id="rId1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zoomScaleNormal="100" workbookViewId="0">
      <pane xSplit="3" ySplit="4" topLeftCell="D5" activePane="bottomRight" state="frozen"/>
      <selection pane="topRight" activeCell="D1" sqref="D1"/>
      <selection pane="bottomLeft" activeCell="A5" sqref="A5"/>
      <selection pane="bottomRight"/>
    </sheetView>
  </sheetViews>
  <sheetFormatPr defaultColWidth="8.7109375" defaultRowHeight="15"/>
  <cols>
    <col min="1" max="1" width="4" customWidth="1"/>
    <col min="2" max="2" width="7" customWidth="1"/>
    <col min="3" max="3" width="40" customWidth="1"/>
    <col min="4" max="5" width="22" customWidth="1"/>
    <col min="6" max="6" width="26" customWidth="1"/>
    <col min="7" max="7" width="20" customWidth="1"/>
    <col min="8" max="8" width="14" customWidth="1"/>
    <col min="9" max="9" width="70" customWidth="1"/>
    <col min="10" max="10" width="9" customWidth="1"/>
    <col min="11" max="11" width="34" customWidth="1"/>
    <col min="12" max="12" width="11" customWidth="1"/>
    <col min="13" max="13" width="26" customWidth="1"/>
  </cols>
  <sheetData>
    <row r="1" spans="1:13">
      <c r="A1" s="3" t="s">
        <v>679</v>
      </c>
    </row>
    <row r="2" spans="1:13">
      <c r="A2" s="12" t="s">
        <v>29</v>
      </c>
    </row>
    <row r="4" spans="1:13" ht="25.5">
      <c r="A4" s="13" t="s">
        <v>30</v>
      </c>
      <c r="B4" s="13" t="s">
        <v>31</v>
      </c>
      <c r="C4" s="13" t="s">
        <v>32</v>
      </c>
      <c r="D4" s="13" t="s">
        <v>33</v>
      </c>
      <c r="E4" s="13" t="s">
        <v>34</v>
      </c>
      <c r="F4" s="13" t="s">
        <v>35</v>
      </c>
      <c r="G4" s="13" t="s">
        <v>36</v>
      </c>
      <c r="H4" s="13" t="s">
        <v>37</v>
      </c>
      <c r="I4" s="13" t="s">
        <v>38</v>
      </c>
      <c r="J4" s="13" t="s">
        <v>39</v>
      </c>
      <c r="K4" s="13" t="s">
        <v>40</v>
      </c>
      <c r="L4" s="13" t="s">
        <v>41</v>
      </c>
      <c r="M4" s="13" t="s">
        <v>42</v>
      </c>
    </row>
    <row r="5" spans="1:13" ht="75" customHeight="1">
      <c r="A5" s="2">
        <v>1</v>
      </c>
      <c r="B5" s="2">
        <v>2006</v>
      </c>
      <c r="C5" s="2" t="s">
        <v>680</v>
      </c>
      <c r="D5" s="2"/>
      <c r="E5" s="2" t="s">
        <v>681</v>
      </c>
      <c r="F5" s="14" t="s">
        <v>682</v>
      </c>
      <c r="G5" s="2"/>
      <c r="H5" s="2" t="s">
        <v>57</v>
      </c>
      <c r="I5" s="2" t="s">
        <v>683</v>
      </c>
      <c r="J5" s="2" t="s">
        <v>59</v>
      </c>
      <c r="K5" s="2" t="s">
        <v>684</v>
      </c>
      <c r="L5" s="15" t="s">
        <v>59</v>
      </c>
      <c r="M5" s="2"/>
    </row>
    <row r="6" spans="1:13" ht="75" customHeight="1">
      <c r="A6" s="2">
        <v>2</v>
      </c>
      <c r="B6" s="2">
        <v>2014</v>
      </c>
      <c r="C6" s="2" t="s">
        <v>685</v>
      </c>
      <c r="D6" s="2" t="s">
        <v>686</v>
      </c>
      <c r="E6" s="2" t="s">
        <v>687</v>
      </c>
      <c r="F6" s="14" t="s">
        <v>688</v>
      </c>
      <c r="G6" s="2" t="s">
        <v>689</v>
      </c>
      <c r="H6" s="2" t="s">
        <v>87</v>
      </c>
      <c r="I6" s="2" t="s">
        <v>690</v>
      </c>
      <c r="J6" s="2" t="s">
        <v>59</v>
      </c>
      <c r="K6" s="2" t="s">
        <v>691</v>
      </c>
      <c r="L6" s="15" t="s">
        <v>59</v>
      </c>
      <c r="M6" s="2"/>
    </row>
    <row r="7" spans="1:13" ht="75" customHeight="1">
      <c r="A7" s="2">
        <v>3</v>
      </c>
      <c r="B7" s="2">
        <v>2015</v>
      </c>
      <c r="C7" s="2" t="s">
        <v>692</v>
      </c>
      <c r="D7" s="2" t="s">
        <v>693</v>
      </c>
      <c r="E7" s="2" t="s">
        <v>694</v>
      </c>
      <c r="F7" s="14" t="s">
        <v>695</v>
      </c>
      <c r="G7" s="2" t="s">
        <v>696</v>
      </c>
      <c r="H7" s="2" t="s">
        <v>242</v>
      </c>
      <c r="I7" s="2" t="s">
        <v>697</v>
      </c>
      <c r="J7" s="2" t="s">
        <v>59</v>
      </c>
      <c r="K7" s="2" t="s">
        <v>698</v>
      </c>
      <c r="L7" s="15" t="s">
        <v>59</v>
      </c>
      <c r="M7" s="2"/>
    </row>
    <row r="8" spans="1:13" ht="75" customHeight="1">
      <c r="A8" s="2">
        <v>4</v>
      </c>
      <c r="B8" s="2">
        <v>2015</v>
      </c>
      <c r="C8" s="2" t="s">
        <v>699</v>
      </c>
      <c r="D8" s="16" t="s">
        <v>700</v>
      </c>
      <c r="E8" s="2" t="s">
        <v>313</v>
      </c>
      <c r="F8" s="14" t="s">
        <v>701</v>
      </c>
      <c r="G8" s="2"/>
      <c r="H8" s="2" t="s">
        <v>57</v>
      </c>
      <c r="I8" s="2" t="s">
        <v>702</v>
      </c>
      <c r="J8" s="2" t="s">
        <v>59</v>
      </c>
      <c r="K8" s="2" t="s">
        <v>703</v>
      </c>
      <c r="L8" s="15" t="s">
        <v>59</v>
      </c>
      <c r="M8" s="2"/>
    </row>
    <row r="9" spans="1:13" ht="75" customHeight="1">
      <c r="A9" s="2">
        <v>5</v>
      </c>
      <c r="B9" s="2">
        <v>2007</v>
      </c>
      <c r="C9" s="2" t="s">
        <v>704</v>
      </c>
      <c r="D9" s="2" t="s">
        <v>121</v>
      </c>
      <c r="E9" s="2" t="s">
        <v>566</v>
      </c>
      <c r="F9" s="14" t="s">
        <v>705</v>
      </c>
      <c r="G9" s="2" t="s">
        <v>706</v>
      </c>
      <c r="H9" s="2" t="s">
        <v>153</v>
      </c>
      <c r="I9" s="2" t="s">
        <v>707</v>
      </c>
      <c r="J9" s="2" t="s">
        <v>50</v>
      </c>
      <c r="K9" s="2" t="s">
        <v>708</v>
      </c>
      <c r="L9" s="15" t="s">
        <v>50</v>
      </c>
      <c r="M9" s="2"/>
    </row>
    <row r="10" spans="1:13" ht="75" customHeight="1">
      <c r="A10" s="2">
        <v>6</v>
      </c>
      <c r="B10" s="2">
        <v>2013</v>
      </c>
      <c r="C10" s="2" t="s">
        <v>709</v>
      </c>
      <c r="D10" s="2" t="s">
        <v>534</v>
      </c>
      <c r="E10" s="2" t="s">
        <v>84</v>
      </c>
      <c r="F10" s="14" t="s">
        <v>710</v>
      </c>
      <c r="G10" s="2" t="s">
        <v>711</v>
      </c>
      <c r="H10" s="2" t="s">
        <v>87</v>
      </c>
      <c r="I10" s="2" t="s">
        <v>712</v>
      </c>
      <c r="J10" s="2" t="s">
        <v>89</v>
      </c>
      <c r="K10" s="2" t="s">
        <v>713</v>
      </c>
      <c r="L10" s="15" t="s">
        <v>89</v>
      </c>
      <c r="M10" s="2"/>
    </row>
    <row r="11" spans="1:13" ht="75" customHeight="1">
      <c r="A11" s="2">
        <v>7</v>
      </c>
      <c r="B11" s="2">
        <v>2013</v>
      </c>
      <c r="C11" s="2" t="s">
        <v>714</v>
      </c>
      <c r="D11" s="2" t="s">
        <v>715</v>
      </c>
      <c r="E11" s="2" t="s">
        <v>84</v>
      </c>
      <c r="F11" s="14" t="s">
        <v>716</v>
      </c>
      <c r="G11" s="2" t="s">
        <v>717</v>
      </c>
      <c r="H11" s="2" t="s">
        <v>87</v>
      </c>
      <c r="I11" s="2" t="s">
        <v>236</v>
      </c>
      <c r="J11" s="2" t="s">
        <v>89</v>
      </c>
      <c r="K11" s="2" t="s">
        <v>718</v>
      </c>
      <c r="L11" s="15" t="s">
        <v>89</v>
      </c>
      <c r="M11" s="2"/>
    </row>
    <row r="12" spans="1:13" ht="75" customHeight="1">
      <c r="A12" s="2">
        <v>8</v>
      </c>
      <c r="B12" s="2">
        <v>2015</v>
      </c>
      <c r="C12" s="2" t="s">
        <v>719</v>
      </c>
      <c r="D12" s="2" t="s">
        <v>720</v>
      </c>
      <c r="E12" s="2" t="s">
        <v>694</v>
      </c>
      <c r="F12" s="14" t="s">
        <v>721</v>
      </c>
      <c r="G12" s="2" t="s">
        <v>722</v>
      </c>
      <c r="H12" s="2" t="s">
        <v>228</v>
      </c>
      <c r="I12" s="2" t="s">
        <v>723</v>
      </c>
      <c r="J12" s="2" t="s">
        <v>59</v>
      </c>
      <c r="K12" s="2" t="s">
        <v>724</v>
      </c>
      <c r="L12" s="15" t="s">
        <v>59</v>
      </c>
      <c r="M12" s="2"/>
    </row>
    <row r="13" spans="1:13" ht="75" customHeight="1">
      <c r="A13" s="2">
        <v>9</v>
      </c>
      <c r="B13" s="2">
        <v>2015</v>
      </c>
      <c r="C13" s="2" t="s">
        <v>725</v>
      </c>
      <c r="D13" s="2" t="s">
        <v>726</v>
      </c>
      <c r="E13" s="2" t="s">
        <v>727</v>
      </c>
      <c r="F13" s="14" t="s">
        <v>728</v>
      </c>
      <c r="G13" s="2" t="s">
        <v>729</v>
      </c>
      <c r="H13" s="2" t="s">
        <v>221</v>
      </c>
      <c r="I13" s="2" t="s">
        <v>730</v>
      </c>
      <c r="J13" s="2" t="s">
        <v>59</v>
      </c>
      <c r="K13" s="2" t="s">
        <v>731</v>
      </c>
      <c r="L13" s="15" t="s">
        <v>59</v>
      </c>
      <c r="M13" s="2"/>
    </row>
    <row r="14" spans="1:13" ht="75" customHeight="1">
      <c r="A14" s="2">
        <v>10</v>
      </c>
      <c r="B14" s="2">
        <v>2015</v>
      </c>
      <c r="C14" s="2" t="s">
        <v>732</v>
      </c>
      <c r="D14" s="2" t="s">
        <v>720</v>
      </c>
      <c r="E14" s="2" t="s">
        <v>70</v>
      </c>
      <c r="F14" s="14" t="s">
        <v>733</v>
      </c>
      <c r="G14" s="2" t="s">
        <v>734</v>
      </c>
      <c r="H14" s="2" t="s">
        <v>228</v>
      </c>
      <c r="I14" s="2" t="s">
        <v>735</v>
      </c>
      <c r="J14" s="2" t="s">
        <v>59</v>
      </c>
      <c r="K14" s="2" t="s">
        <v>736</v>
      </c>
      <c r="L14" s="15" t="s">
        <v>59</v>
      </c>
      <c r="M14" s="2"/>
    </row>
    <row r="15" spans="1:13" ht="75" customHeight="1">
      <c r="A15" s="2">
        <v>11</v>
      </c>
      <c r="B15" s="2">
        <v>2013</v>
      </c>
      <c r="C15" s="2" t="s">
        <v>737</v>
      </c>
      <c r="D15" s="2" t="s">
        <v>738</v>
      </c>
      <c r="E15" s="2" t="s">
        <v>615</v>
      </c>
      <c r="F15" s="14" t="s">
        <v>739</v>
      </c>
      <c r="G15" s="2"/>
      <c r="H15" s="2" t="s">
        <v>57</v>
      </c>
      <c r="I15" s="2" t="s">
        <v>740</v>
      </c>
      <c r="J15" s="2" t="s">
        <v>59</v>
      </c>
      <c r="K15" s="2" t="s">
        <v>741</v>
      </c>
      <c r="L15" s="15" t="s">
        <v>59</v>
      </c>
      <c r="M15" s="2"/>
    </row>
    <row r="16" spans="1:13" ht="75" customHeight="1">
      <c r="A16" s="2">
        <v>12</v>
      </c>
      <c r="B16" s="2">
        <v>2015</v>
      </c>
      <c r="C16" s="2" t="s">
        <v>742</v>
      </c>
      <c r="D16" s="2" t="s">
        <v>743</v>
      </c>
      <c r="E16" s="2" t="s">
        <v>694</v>
      </c>
      <c r="F16" s="14" t="s">
        <v>744</v>
      </c>
      <c r="G16" s="2" t="s">
        <v>745</v>
      </c>
      <c r="H16" s="2" t="s">
        <v>203</v>
      </c>
      <c r="I16" s="2" t="s">
        <v>746</v>
      </c>
      <c r="J16" s="2" t="s">
        <v>59</v>
      </c>
      <c r="K16" s="2" t="s">
        <v>747</v>
      </c>
      <c r="L16" s="15" t="s">
        <v>59</v>
      </c>
      <c r="M16" s="2"/>
    </row>
    <row r="17" spans="1:13" ht="75" customHeight="1">
      <c r="A17" s="2">
        <v>13</v>
      </c>
      <c r="B17" s="2">
        <v>2015</v>
      </c>
      <c r="C17" s="2" t="s">
        <v>748</v>
      </c>
      <c r="D17" s="2" t="s">
        <v>749</v>
      </c>
      <c r="E17" s="2" t="s">
        <v>70</v>
      </c>
      <c r="F17" s="14" t="s">
        <v>750</v>
      </c>
      <c r="G17" s="2"/>
      <c r="H17" s="2" t="s">
        <v>57</v>
      </c>
      <c r="I17" s="2" t="s">
        <v>236</v>
      </c>
      <c r="J17" s="2" t="s">
        <v>59</v>
      </c>
      <c r="K17" s="2" t="s">
        <v>751</v>
      </c>
      <c r="L17" s="15" t="s">
        <v>59</v>
      </c>
      <c r="M17" s="2"/>
    </row>
    <row r="18" spans="1:13" ht="75" customHeight="1">
      <c r="A18" s="2">
        <v>14</v>
      </c>
      <c r="B18" s="2">
        <v>2009</v>
      </c>
      <c r="C18" s="2" t="s">
        <v>752</v>
      </c>
      <c r="D18" s="2" t="s">
        <v>753</v>
      </c>
      <c r="E18" s="2" t="s">
        <v>507</v>
      </c>
      <c r="F18" s="14" t="s">
        <v>754</v>
      </c>
      <c r="G18" s="2"/>
      <c r="H18" s="2" t="s">
        <v>87</v>
      </c>
      <c r="I18" s="2" t="s">
        <v>755</v>
      </c>
      <c r="J18" s="2" t="s">
        <v>50</v>
      </c>
      <c r="K18" s="2" t="s">
        <v>756</v>
      </c>
      <c r="L18" s="15" t="s">
        <v>50</v>
      </c>
      <c r="M18" s="2"/>
    </row>
    <row r="19" spans="1:13" ht="75" customHeight="1">
      <c r="A19" s="2">
        <v>15</v>
      </c>
      <c r="B19" s="2">
        <v>2007</v>
      </c>
      <c r="C19" s="2" t="s">
        <v>757</v>
      </c>
      <c r="D19" s="2" t="s">
        <v>758</v>
      </c>
      <c r="E19" s="2" t="s">
        <v>759</v>
      </c>
      <c r="F19" s="14" t="s">
        <v>760</v>
      </c>
      <c r="G19" s="2" t="s">
        <v>761</v>
      </c>
      <c r="H19" s="2" t="s">
        <v>95</v>
      </c>
      <c r="I19" s="2" t="s">
        <v>762</v>
      </c>
      <c r="J19" s="2" t="s">
        <v>50</v>
      </c>
      <c r="K19" s="2" t="s">
        <v>763</v>
      </c>
      <c r="L19" s="15" t="s">
        <v>50</v>
      </c>
      <c r="M19" s="2"/>
    </row>
    <row r="20" spans="1:13" ht="75" customHeight="1">
      <c r="A20" s="2">
        <v>16</v>
      </c>
      <c r="B20" s="2">
        <v>2015</v>
      </c>
      <c r="C20" s="2" t="s">
        <v>764</v>
      </c>
      <c r="D20" s="2" t="s">
        <v>765</v>
      </c>
      <c r="E20" s="2" t="s">
        <v>461</v>
      </c>
      <c r="F20" s="14" t="s">
        <v>766</v>
      </c>
      <c r="G20" s="2" t="s">
        <v>767</v>
      </c>
      <c r="H20" s="2" t="s">
        <v>768</v>
      </c>
      <c r="I20" s="2" t="s">
        <v>769</v>
      </c>
      <c r="J20" s="2" t="s">
        <v>59</v>
      </c>
      <c r="K20" s="2" t="s">
        <v>770</v>
      </c>
      <c r="L20" s="15" t="s">
        <v>59</v>
      </c>
      <c r="M20" s="2"/>
    </row>
    <row r="21" spans="1:13" ht="75" customHeight="1">
      <c r="A21" s="2">
        <v>17</v>
      </c>
      <c r="B21" s="2">
        <v>2014</v>
      </c>
      <c r="C21" s="2" t="s">
        <v>771</v>
      </c>
      <c r="D21" s="16" t="s">
        <v>772</v>
      </c>
      <c r="E21" s="2" t="s">
        <v>70</v>
      </c>
      <c r="F21" s="14" t="s">
        <v>773</v>
      </c>
      <c r="G21" s="2" t="s">
        <v>774</v>
      </c>
      <c r="H21" s="2" t="s">
        <v>57</v>
      </c>
      <c r="I21" s="16" t="s">
        <v>775</v>
      </c>
      <c r="J21" s="2" t="s">
        <v>89</v>
      </c>
      <c r="K21" s="2" t="s">
        <v>776</v>
      </c>
      <c r="L21" s="15" t="s">
        <v>89</v>
      </c>
      <c r="M21" s="2"/>
    </row>
    <row r="22" spans="1:13" ht="75" customHeight="1">
      <c r="A22" s="2">
        <v>18</v>
      </c>
      <c r="B22" s="2">
        <v>2011</v>
      </c>
      <c r="C22" s="2" t="s">
        <v>777</v>
      </c>
      <c r="D22" s="2" t="s">
        <v>778</v>
      </c>
      <c r="E22" s="2" t="s">
        <v>507</v>
      </c>
      <c r="F22" s="14" t="s">
        <v>779</v>
      </c>
      <c r="G22" s="2"/>
      <c r="H22" s="2" t="s">
        <v>87</v>
      </c>
      <c r="I22" s="2" t="s">
        <v>780</v>
      </c>
      <c r="J22" s="2" t="s">
        <v>50</v>
      </c>
      <c r="K22" s="2" t="s">
        <v>781</v>
      </c>
      <c r="L22" s="15" t="s">
        <v>50</v>
      </c>
      <c r="M22" s="2"/>
    </row>
    <row r="23" spans="1:13" ht="75" customHeight="1">
      <c r="A23" s="2">
        <v>19</v>
      </c>
      <c r="B23" s="2">
        <v>2015</v>
      </c>
      <c r="C23" s="2" t="s">
        <v>782</v>
      </c>
      <c r="D23" s="2" t="s">
        <v>783</v>
      </c>
      <c r="E23" s="2" t="s">
        <v>100</v>
      </c>
      <c r="F23" s="14" t="s">
        <v>784</v>
      </c>
      <c r="G23" s="2" t="s">
        <v>785</v>
      </c>
      <c r="H23" s="2" t="s">
        <v>87</v>
      </c>
      <c r="I23" s="2" t="s">
        <v>786</v>
      </c>
      <c r="J23" s="2" t="s">
        <v>59</v>
      </c>
      <c r="K23" s="2" t="s">
        <v>787</v>
      </c>
      <c r="L23" s="15" t="s">
        <v>59</v>
      </c>
      <c r="M23" s="2"/>
    </row>
    <row r="24" spans="1:13" ht="75" customHeight="1">
      <c r="A24" s="2">
        <v>20</v>
      </c>
      <c r="B24" s="2">
        <v>2014</v>
      </c>
      <c r="C24" s="2" t="s">
        <v>788</v>
      </c>
      <c r="D24" s="2" t="s">
        <v>789</v>
      </c>
      <c r="E24" s="2" t="s">
        <v>790</v>
      </c>
      <c r="F24" s="14" t="s">
        <v>791</v>
      </c>
      <c r="G24" s="2" t="s">
        <v>792</v>
      </c>
      <c r="H24" s="2" t="s">
        <v>793</v>
      </c>
      <c r="I24" s="2" t="s">
        <v>794</v>
      </c>
      <c r="J24" s="2" t="s">
        <v>50</v>
      </c>
      <c r="K24" s="2" t="s">
        <v>795</v>
      </c>
      <c r="L24" s="15" t="s">
        <v>50</v>
      </c>
      <c r="M24" s="2"/>
    </row>
    <row r="25" spans="1:13" ht="75" customHeight="1">
      <c r="A25" s="2">
        <v>21</v>
      </c>
      <c r="B25" s="2">
        <v>2011</v>
      </c>
      <c r="C25" s="2" t="s">
        <v>796</v>
      </c>
      <c r="D25" s="2" t="s">
        <v>797</v>
      </c>
      <c r="E25" s="2" t="s">
        <v>70</v>
      </c>
      <c r="F25" s="14" t="s">
        <v>798</v>
      </c>
      <c r="G25" s="2" t="s">
        <v>799</v>
      </c>
      <c r="H25" s="2" t="s">
        <v>221</v>
      </c>
      <c r="I25" s="2" t="s">
        <v>800</v>
      </c>
      <c r="J25" s="2" t="s">
        <v>59</v>
      </c>
      <c r="K25" s="2" t="s">
        <v>801</v>
      </c>
      <c r="L25" s="15" t="s">
        <v>59</v>
      </c>
      <c r="M25" s="2"/>
    </row>
    <row r="26" spans="1:13" ht="75" customHeight="1">
      <c r="A26" s="2">
        <v>22</v>
      </c>
      <c r="B26" s="2">
        <v>2014</v>
      </c>
      <c r="C26" s="2" t="s">
        <v>802</v>
      </c>
      <c r="D26" s="2" t="s">
        <v>803</v>
      </c>
      <c r="E26" s="2" t="s">
        <v>804</v>
      </c>
      <c r="F26" s="14" t="s">
        <v>805</v>
      </c>
      <c r="G26" s="2" t="s">
        <v>806</v>
      </c>
      <c r="H26" s="2" t="s">
        <v>256</v>
      </c>
      <c r="I26" s="2" t="s">
        <v>807</v>
      </c>
      <c r="J26" s="2" t="s">
        <v>50</v>
      </c>
      <c r="K26" s="2" t="s">
        <v>808</v>
      </c>
      <c r="L26" s="15" t="s">
        <v>50</v>
      </c>
      <c r="M26" s="2"/>
    </row>
    <row r="27" spans="1:13" ht="75" customHeight="1">
      <c r="A27" s="2">
        <v>23</v>
      </c>
      <c r="B27" s="2">
        <v>2013</v>
      </c>
      <c r="C27" s="2" t="s">
        <v>809</v>
      </c>
      <c r="D27" s="2" t="s">
        <v>810</v>
      </c>
      <c r="E27" s="2" t="s">
        <v>70</v>
      </c>
      <c r="F27" s="14" t="s">
        <v>811</v>
      </c>
      <c r="G27" s="2" t="s">
        <v>812</v>
      </c>
      <c r="H27" s="2" t="s">
        <v>203</v>
      </c>
      <c r="I27" s="2" t="s">
        <v>813</v>
      </c>
      <c r="J27" s="2" t="s">
        <v>89</v>
      </c>
      <c r="K27" s="2" t="s">
        <v>814</v>
      </c>
      <c r="L27" s="15" t="s">
        <v>89</v>
      </c>
      <c r="M27" s="2"/>
    </row>
    <row r="28" spans="1:13" ht="75" customHeight="1">
      <c r="A28" s="2">
        <v>24</v>
      </c>
      <c r="B28" s="2">
        <v>2005</v>
      </c>
      <c r="C28" s="2" t="s">
        <v>815</v>
      </c>
      <c r="D28" s="2" t="s">
        <v>816</v>
      </c>
      <c r="E28" s="2" t="s">
        <v>817</v>
      </c>
      <c r="F28" s="14" t="s">
        <v>818</v>
      </c>
      <c r="G28" s="2"/>
      <c r="H28" s="2" t="s">
        <v>125</v>
      </c>
      <c r="I28" s="2" t="s">
        <v>819</v>
      </c>
      <c r="J28" s="2" t="s">
        <v>50</v>
      </c>
      <c r="K28" s="2" t="s">
        <v>820</v>
      </c>
      <c r="L28" s="15" t="s">
        <v>50</v>
      </c>
      <c r="M28" s="2"/>
    </row>
    <row r="29" spans="1:13" ht="75" customHeight="1">
      <c r="A29" s="2">
        <v>25</v>
      </c>
      <c r="B29" s="2">
        <v>2009</v>
      </c>
      <c r="C29" s="2" t="s">
        <v>821</v>
      </c>
      <c r="D29" s="2" t="s">
        <v>822</v>
      </c>
      <c r="E29" s="2" t="s">
        <v>84</v>
      </c>
      <c r="F29" s="14" t="s">
        <v>823</v>
      </c>
      <c r="G29" s="2" t="s">
        <v>824</v>
      </c>
      <c r="H29" s="2" t="s">
        <v>203</v>
      </c>
      <c r="I29" s="2" t="s">
        <v>825</v>
      </c>
      <c r="J29" s="2" t="s">
        <v>89</v>
      </c>
      <c r="K29" s="2" t="s">
        <v>826</v>
      </c>
      <c r="L29" s="15" t="s">
        <v>89</v>
      </c>
      <c r="M29" s="2"/>
    </row>
    <row r="30" spans="1:13" ht="75" customHeight="1">
      <c r="A30" s="2">
        <v>26</v>
      </c>
      <c r="B30" s="2">
        <v>2015</v>
      </c>
      <c r="C30" s="2" t="s">
        <v>827</v>
      </c>
      <c r="D30" s="2" t="s">
        <v>828</v>
      </c>
      <c r="E30" s="2" t="s">
        <v>829</v>
      </c>
      <c r="F30" s="14" t="s">
        <v>830</v>
      </c>
      <c r="G30" s="2" t="s">
        <v>831</v>
      </c>
      <c r="H30" s="2" t="s">
        <v>203</v>
      </c>
      <c r="I30" s="2" t="s">
        <v>832</v>
      </c>
      <c r="J30" s="2" t="s">
        <v>59</v>
      </c>
      <c r="K30" s="2" t="s">
        <v>833</v>
      </c>
      <c r="L30" s="15" t="s">
        <v>59</v>
      </c>
      <c r="M30" s="2"/>
    </row>
    <row r="31" spans="1:13" ht="75" customHeight="1">
      <c r="A31" s="2">
        <v>27</v>
      </c>
      <c r="B31" s="2">
        <v>2011</v>
      </c>
      <c r="C31" s="2" t="s">
        <v>834</v>
      </c>
      <c r="D31" s="2" t="s">
        <v>835</v>
      </c>
      <c r="E31" s="2" t="s">
        <v>836</v>
      </c>
      <c r="F31" s="14" t="s">
        <v>837</v>
      </c>
      <c r="G31" s="2" t="s">
        <v>838</v>
      </c>
      <c r="H31" s="2" t="s">
        <v>57</v>
      </c>
      <c r="I31" s="2" t="s">
        <v>839</v>
      </c>
      <c r="J31" s="2" t="s">
        <v>59</v>
      </c>
      <c r="K31" s="2" t="s">
        <v>840</v>
      </c>
      <c r="L31" s="15" t="s">
        <v>59</v>
      </c>
      <c r="M31" s="2"/>
    </row>
    <row r="32" spans="1:13" ht="75" customHeight="1">
      <c r="A32" s="2">
        <v>28</v>
      </c>
      <c r="B32" s="2">
        <v>2015</v>
      </c>
      <c r="C32" s="2" t="s">
        <v>841</v>
      </c>
      <c r="D32" s="2" t="s">
        <v>842</v>
      </c>
      <c r="E32" s="2" t="s">
        <v>843</v>
      </c>
      <c r="F32" s="14" t="s">
        <v>844</v>
      </c>
      <c r="G32" s="2"/>
      <c r="H32" s="2" t="s">
        <v>153</v>
      </c>
      <c r="I32" s="2" t="s">
        <v>236</v>
      </c>
      <c r="J32" s="2" t="s">
        <v>59</v>
      </c>
      <c r="K32" s="2" t="s">
        <v>845</v>
      </c>
      <c r="L32" s="15" t="s">
        <v>59</v>
      </c>
      <c r="M32" s="2"/>
    </row>
    <row r="33" spans="1:13" ht="75" customHeight="1">
      <c r="A33" s="2">
        <v>29</v>
      </c>
      <c r="B33" s="2">
        <v>2015</v>
      </c>
      <c r="C33" s="2" t="s">
        <v>846</v>
      </c>
      <c r="D33" s="2" t="s">
        <v>847</v>
      </c>
      <c r="E33" s="2" t="s">
        <v>848</v>
      </c>
      <c r="F33" s="14" t="s">
        <v>849</v>
      </c>
      <c r="G33" s="2"/>
      <c r="H33" s="2" t="s">
        <v>57</v>
      </c>
      <c r="I33" s="2" t="s">
        <v>236</v>
      </c>
      <c r="J33" s="2" t="s">
        <v>59</v>
      </c>
      <c r="K33" s="2" t="s">
        <v>850</v>
      </c>
      <c r="L33" s="15" t="s">
        <v>59</v>
      </c>
      <c r="M33" s="2"/>
    </row>
    <row r="34" spans="1:13" ht="75" customHeight="1">
      <c r="A34" s="2">
        <v>30</v>
      </c>
      <c r="B34" s="2">
        <v>2015</v>
      </c>
      <c r="C34" s="2" t="s">
        <v>851</v>
      </c>
      <c r="D34" s="2" t="s">
        <v>783</v>
      </c>
      <c r="E34" s="2" t="s">
        <v>70</v>
      </c>
      <c r="F34" s="14" t="s">
        <v>852</v>
      </c>
      <c r="G34" s="2" t="s">
        <v>853</v>
      </c>
      <c r="H34" s="2" t="s">
        <v>203</v>
      </c>
      <c r="I34" s="2" t="s">
        <v>854</v>
      </c>
      <c r="J34" s="2" t="s">
        <v>50</v>
      </c>
      <c r="K34" s="2" t="s">
        <v>855</v>
      </c>
      <c r="L34" s="15" t="s">
        <v>50</v>
      </c>
      <c r="M34" s="2"/>
    </row>
    <row r="35" spans="1:13" ht="75" customHeight="1">
      <c r="A35" s="2">
        <v>31</v>
      </c>
      <c r="B35" s="2">
        <v>2014</v>
      </c>
      <c r="C35" s="2" t="s">
        <v>856</v>
      </c>
      <c r="D35" s="2"/>
      <c r="E35" s="2" t="s">
        <v>70</v>
      </c>
      <c r="F35" s="14" t="s">
        <v>857</v>
      </c>
      <c r="G35" s="2"/>
      <c r="H35" s="2" t="s">
        <v>87</v>
      </c>
      <c r="I35" s="2" t="s">
        <v>858</v>
      </c>
      <c r="J35" s="2" t="s">
        <v>50</v>
      </c>
      <c r="K35" s="2" t="s">
        <v>859</v>
      </c>
      <c r="L35" s="15" t="s">
        <v>50</v>
      </c>
      <c r="M35" s="2"/>
    </row>
    <row r="36" spans="1:13" ht="75" customHeight="1">
      <c r="A36" s="2">
        <v>32</v>
      </c>
      <c r="B36" s="2">
        <v>2015</v>
      </c>
      <c r="C36" s="2" t="s">
        <v>860</v>
      </c>
      <c r="D36" s="2" t="s">
        <v>861</v>
      </c>
      <c r="E36" s="2" t="s">
        <v>862</v>
      </c>
      <c r="F36" s="14" t="s">
        <v>863</v>
      </c>
      <c r="G36" s="2" t="s">
        <v>864</v>
      </c>
      <c r="H36" s="2" t="s">
        <v>153</v>
      </c>
      <c r="I36" s="2" t="s">
        <v>865</v>
      </c>
      <c r="J36" s="2" t="s">
        <v>89</v>
      </c>
      <c r="K36" s="2" t="s">
        <v>866</v>
      </c>
      <c r="L36" s="15" t="s">
        <v>89</v>
      </c>
      <c r="M36" s="2"/>
    </row>
    <row r="37" spans="1:13" ht="75" customHeight="1">
      <c r="A37" s="2">
        <v>33</v>
      </c>
      <c r="B37" s="2">
        <v>2015</v>
      </c>
      <c r="C37" s="2" t="s">
        <v>867</v>
      </c>
      <c r="D37" s="2" t="s">
        <v>106</v>
      </c>
      <c r="E37" s="2" t="s">
        <v>70</v>
      </c>
      <c r="F37" s="14" t="s">
        <v>868</v>
      </c>
      <c r="G37" s="2" t="s">
        <v>869</v>
      </c>
      <c r="H37" s="2" t="s">
        <v>221</v>
      </c>
      <c r="I37" s="2" t="s">
        <v>870</v>
      </c>
      <c r="J37" s="2" t="s">
        <v>59</v>
      </c>
      <c r="K37" s="2" t="s">
        <v>871</v>
      </c>
      <c r="L37" s="15" t="s">
        <v>59</v>
      </c>
      <c r="M37" s="2"/>
    </row>
    <row r="38" spans="1:13" ht="75" customHeight="1">
      <c r="A38" s="2">
        <v>34</v>
      </c>
      <c r="B38" s="2">
        <v>2013</v>
      </c>
      <c r="C38" s="2" t="s">
        <v>872</v>
      </c>
      <c r="D38" s="2"/>
      <c r="E38" s="2" t="s">
        <v>873</v>
      </c>
      <c r="F38" s="14" t="s">
        <v>874</v>
      </c>
      <c r="G38" s="2"/>
      <c r="H38" s="2" t="s">
        <v>87</v>
      </c>
      <c r="I38" s="2" t="s">
        <v>875</v>
      </c>
      <c r="J38" s="2" t="s">
        <v>59</v>
      </c>
      <c r="K38" s="2" t="s">
        <v>876</v>
      </c>
      <c r="L38" s="15" t="s">
        <v>59</v>
      </c>
      <c r="M38" s="2"/>
    </row>
    <row r="39" spans="1:13" ht="75" customHeight="1">
      <c r="A39" s="2">
        <v>35</v>
      </c>
      <c r="B39" s="2">
        <v>2009</v>
      </c>
      <c r="C39" s="2" t="s">
        <v>877</v>
      </c>
      <c r="D39" s="2" t="s">
        <v>878</v>
      </c>
      <c r="E39" s="2" t="s">
        <v>70</v>
      </c>
      <c r="F39" s="14" t="s">
        <v>879</v>
      </c>
      <c r="G39" s="2"/>
      <c r="H39" s="2" t="s">
        <v>153</v>
      </c>
      <c r="I39" s="2" t="s">
        <v>236</v>
      </c>
      <c r="J39" s="2" t="s">
        <v>59</v>
      </c>
      <c r="K39" s="2" t="s">
        <v>880</v>
      </c>
      <c r="L39" s="15" t="s">
        <v>59</v>
      </c>
      <c r="M39" s="2"/>
    </row>
    <row r="40" spans="1:13" ht="75" customHeight="1">
      <c r="A40" s="2">
        <v>36</v>
      </c>
      <c r="B40" s="2">
        <v>2015</v>
      </c>
      <c r="C40" s="2" t="s">
        <v>881</v>
      </c>
      <c r="D40" s="2"/>
      <c r="E40" s="2" t="s">
        <v>70</v>
      </c>
      <c r="F40" s="14" t="s">
        <v>882</v>
      </c>
      <c r="G40" s="2"/>
      <c r="H40" s="2" t="s">
        <v>153</v>
      </c>
      <c r="I40" s="2" t="s">
        <v>236</v>
      </c>
      <c r="J40" s="2" t="s">
        <v>59</v>
      </c>
      <c r="K40" s="2" t="s">
        <v>883</v>
      </c>
      <c r="L40" s="15" t="s">
        <v>59</v>
      </c>
      <c r="M40" s="2"/>
    </row>
    <row r="41" spans="1:13" ht="75" customHeight="1">
      <c r="A41" s="2">
        <v>37</v>
      </c>
      <c r="B41" s="2">
        <v>2012</v>
      </c>
      <c r="C41" s="2" t="s">
        <v>884</v>
      </c>
      <c r="D41" s="2"/>
      <c r="E41" s="2" t="s">
        <v>687</v>
      </c>
      <c r="F41" s="14" t="s">
        <v>885</v>
      </c>
      <c r="G41" s="2"/>
      <c r="H41" s="2" t="s">
        <v>48</v>
      </c>
      <c r="I41" s="2" t="s">
        <v>886</v>
      </c>
      <c r="J41" s="2" t="s">
        <v>59</v>
      </c>
      <c r="K41" s="2" t="s">
        <v>887</v>
      </c>
      <c r="L41" s="15" t="s">
        <v>59</v>
      </c>
      <c r="M41" s="2"/>
    </row>
    <row r="42" spans="1:13" ht="75" customHeight="1">
      <c r="A42" s="2">
        <v>38</v>
      </c>
      <c r="B42" s="2">
        <v>2012</v>
      </c>
      <c r="C42" s="2" t="s">
        <v>888</v>
      </c>
      <c r="D42" s="2" t="s">
        <v>83</v>
      </c>
      <c r="E42" s="2" t="s">
        <v>84</v>
      </c>
      <c r="F42" s="14" t="s">
        <v>889</v>
      </c>
      <c r="G42" s="2" t="s">
        <v>890</v>
      </c>
      <c r="H42" s="2" t="s">
        <v>153</v>
      </c>
      <c r="I42" s="2" t="s">
        <v>236</v>
      </c>
      <c r="J42" s="2" t="s">
        <v>89</v>
      </c>
      <c r="K42" s="2" t="s">
        <v>891</v>
      </c>
      <c r="L42" s="15" t="s">
        <v>89</v>
      </c>
      <c r="M42" s="2"/>
    </row>
    <row r="43" spans="1:13" ht="75" customHeight="1">
      <c r="A43" s="2">
        <v>39</v>
      </c>
      <c r="B43" s="2">
        <v>2013</v>
      </c>
      <c r="C43" s="2" t="s">
        <v>892</v>
      </c>
      <c r="D43" s="2" t="s">
        <v>893</v>
      </c>
      <c r="E43" s="2" t="s">
        <v>894</v>
      </c>
      <c r="F43" s="14" t="s">
        <v>895</v>
      </c>
      <c r="G43" s="2"/>
      <c r="H43" s="2" t="s">
        <v>57</v>
      </c>
      <c r="I43" s="2" t="s">
        <v>896</v>
      </c>
      <c r="J43" s="2" t="s">
        <v>89</v>
      </c>
      <c r="K43" s="2" t="s">
        <v>897</v>
      </c>
      <c r="L43" s="15" t="s">
        <v>89</v>
      </c>
      <c r="M43" s="2"/>
    </row>
    <row r="44" spans="1:13" ht="75" customHeight="1">
      <c r="A44" s="2">
        <v>40</v>
      </c>
      <c r="B44" s="2">
        <v>2014</v>
      </c>
      <c r="C44" s="2" t="s">
        <v>898</v>
      </c>
      <c r="D44" s="2" t="s">
        <v>899</v>
      </c>
      <c r="E44" s="2" t="s">
        <v>900</v>
      </c>
      <c r="F44" s="14" t="s">
        <v>901</v>
      </c>
      <c r="G44" s="2" t="s">
        <v>902</v>
      </c>
      <c r="H44" s="2" t="s">
        <v>256</v>
      </c>
      <c r="I44" s="2" t="s">
        <v>236</v>
      </c>
      <c r="J44" s="2" t="s">
        <v>50</v>
      </c>
      <c r="K44" s="2" t="s">
        <v>903</v>
      </c>
      <c r="L44" s="15" t="s">
        <v>50</v>
      </c>
      <c r="M44" s="2"/>
    </row>
    <row r="45" spans="1:13" ht="75" customHeight="1">
      <c r="A45" s="2">
        <v>41</v>
      </c>
      <c r="B45" s="2">
        <v>2013</v>
      </c>
      <c r="C45" s="2" t="s">
        <v>904</v>
      </c>
      <c r="D45" s="2" t="s">
        <v>905</v>
      </c>
      <c r="E45" s="2" t="s">
        <v>636</v>
      </c>
      <c r="F45" s="14" t="s">
        <v>906</v>
      </c>
      <c r="G45" s="2"/>
      <c r="H45" s="2" t="s">
        <v>907</v>
      </c>
      <c r="I45" s="2" t="s">
        <v>908</v>
      </c>
      <c r="J45" s="2" t="s">
        <v>50</v>
      </c>
      <c r="K45" s="2" t="s">
        <v>909</v>
      </c>
      <c r="L45" s="15" t="s">
        <v>50</v>
      </c>
      <c r="M45" s="2"/>
    </row>
    <row r="46" spans="1:13" ht="75" customHeight="1">
      <c r="A46" s="2">
        <v>42</v>
      </c>
      <c r="B46" s="2">
        <v>2015</v>
      </c>
      <c r="C46" s="2" t="s">
        <v>910</v>
      </c>
      <c r="D46" s="2"/>
      <c r="E46" s="2" t="s">
        <v>266</v>
      </c>
      <c r="F46" s="14" t="s">
        <v>911</v>
      </c>
      <c r="G46" s="2"/>
      <c r="H46" s="2" t="s">
        <v>221</v>
      </c>
      <c r="I46" s="2" t="s">
        <v>912</v>
      </c>
      <c r="J46" s="2" t="s">
        <v>59</v>
      </c>
      <c r="K46" s="2" t="s">
        <v>913</v>
      </c>
      <c r="L46" s="15" t="s">
        <v>59</v>
      </c>
      <c r="M46" s="2"/>
    </row>
    <row r="47" spans="1:13" ht="75" customHeight="1">
      <c r="A47" s="2">
        <v>43</v>
      </c>
      <c r="B47" s="2">
        <v>2012</v>
      </c>
      <c r="C47" s="2" t="s">
        <v>914</v>
      </c>
      <c r="D47" s="2"/>
      <c r="E47" s="2" t="s">
        <v>521</v>
      </c>
      <c r="F47" s="14" t="s">
        <v>915</v>
      </c>
      <c r="G47" s="2"/>
      <c r="H47" s="2" t="s">
        <v>87</v>
      </c>
      <c r="I47" s="2" t="s">
        <v>916</v>
      </c>
      <c r="J47" s="2" t="s">
        <v>59</v>
      </c>
      <c r="K47" s="2" t="s">
        <v>917</v>
      </c>
      <c r="L47" s="15" t="s">
        <v>59</v>
      </c>
      <c r="M47" s="2"/>
    </row>
    <row r="48" spans="1:13" ht="75" customHeight="1">
      <c r="A48" s="2">
        <v>44</v>
      </c>
      <c r="B48" s="2">
        <v>2005</v>
      </c>
      <c r="C48" s="2" t="s">
        <v>918</v>
      </c>
      <c r="D48" s="2" t="s">
        <v>919</v>
      </c>
      <c r="E48" s="2" t="s">
        <v>920</v>
      </c>
      <c r="F48" s="14" t="s">
        <v>921</v>
      </c>
      <c r="G48" s="2" t="s">
        <v>922</v>
      </c>
      <c r="H48" s="2" t="s">
        <v>256</v>
      </c>
      <c r="I48" s="2" t="s">
        <v>923</v>
      </c>
      <c r="J48" s="2" t="s">
        <v>50</v>
      </c>
      <c r="K48" s="2" t="s">
        <v>924</v>
      </c>
      <c r="L48" s="15" t="s">
        <v>50</v>
      </c>
      <c r="M48" s="2"/>
    </row>
    <row r="49" spans="1:13" ht="75" customHeight="1">
      <c r="A49" s="2">
        <v>45</v>
      </c>
      <c r="B49" s="2">
        <v>2012</v>
      </c>
      <c r="C49" s="2" t="s">
        <v>925</v>
      </c>
      <c r="D49" s="2" t="s">
        <v>926</v>
      </c>
      <c r="E49" s="2" t="s">
        <v>681</v>
      </c>
      <c r="F49" s="14" t="s">
        <v>927</v>
      </c>
      <c r="G49" s="2"/>
      <c r="H49" s="2" t="s">
        <v>87</v>
      </c>
      <c r="I49" s="2" t="s">
        <v>928</v>
      </c>
      <c r="J49" s="2" t="s">
        <v>59</v>
      </c>
      <c r="K49" s="2" t="s">
        <v>929</v>
      </c>
      <c r="L49" s="15" t="s">
        <v>59</v>
      </c>
      <c r="M49" s="2"/>
    </row>
    <row r="50" spans="1:13" ht="75" customHeight="1">
      <c r="A50" s="2">
        <v>46</v>
      </c>
      <c r="B50" s="2">
        <v>2015</v>
      </c>
      <c r="C50" s="2" t="s">
        <v>930</v>
      </c>
      <c r="D50" s="2" t="s">
        <v>931</v>
      </c>
      <c r="E50" s="2" t="s">
        <v>100</v>
      </c>
      <c r="F50" s="14" t="s">
        <v>932</v>
      </c>
      <c r="G50" s="2" t="s">
        <v>933</v>
      </c>
      <c r="H50" s="2" t="s">
        <v>228</v>
      </c>
      <c r="I50" s="2" t="s">
        <v>934</v>
      </c>
      <c r="J50" s="2" t="s">
        <v>59</v>
      </c>
      <c r="K50" s="2" t="s">
        <v>935</v>
      </c>
      <c r="L50" s="15" t="s">
        <v>59</v>
      </c>
      <c r="M50" s="2"/>
    </row>
    <row r="51" spans="1:13" ht="75" customHeight="1">
      <c r="A51" s="2">
        <v>47</v>
      </c>
      <c r="B51" s="2">
        <v>2006</v>
      </c>
      <c r="C51" s="2" t="s">
        <v>936</v>
      </c>
      <c r="D51" s="2" t="s">
        <v>937</v>
      </c>
      <c r="E51" s="2" t="s">
        <v>938</v>
      </c>
      <c r="F51" s="14" t="s">
        <v>939</v>
      </c>
      <c r="G51" s="2"/>
      <c r="H51" s="2" t="s">
        <v>125</v>
      </c>
      <c r="I51" s="2" t="s">
        <v>940</v>
      </c>
      <c r="J51" s="2" t="s">
        <v>50</v>
      </c>
      <c r="K51" s="2" t="s">
        <v>941</v>
      </c>
      <c r="L51" s="15" t="s">
        <v>50</v>
      </c>
      <c r="M51" s="2"/>
    </row>
    <row r="52" spans="1:13" ht="75" customHeight="1">
      <c r="A52" s="2">
        <v>48</v>
      </c>
      <c r="B52" s="2">
        <v>2015</v>
      </c>
      <c r="C52" s="2" t="s">
        <v>942</v>
      </c>
      <c r="D52" s="2" t="s">
        <v>943</v>
      </c>
      <c r="E52" s="2" t="s">
        <v>313</v>
      </c>
      <c r="F52" s="14" t="s">
        <v>944</v>
      </c>
      <c r="G52" s="2" t="s">
        <v>945</v>
      </c>
      <c r="H52" s="2" t="s">
        <v>117</v>
      </c>
      <c r="I52" s="2" t="s">
        <v>946</v>
      </c>
      <c r="J52" s="2" t="s">
        <v>59</v>
      </c>
      <c r="K52" s="2" t="s">
        <v>947</v>
      </c>
      <c r="L52" s="15" t="s">
        <v>59</v>
      </c>
      <c r="M52" s="2"/>
    </row>
    <row r="53" spans="1:13" ht="75" customHeight="1">
      <c r="A53" s="2">
        <v>49</v>
      </c>
      <c r="B53" s="2">
        <v>2012</v>
      </c>
      <c r="C53" s="2" t="s">
        <v>948</v>
      </c>
      <c r="D53" s="2" t="s">
        <v>949</v>
      </c>
      <c r="E53" s="2" t="s">
        <v>950</v>
      </c>
      <c r="F53" s="14" t="s">
        <v>951</v>
      </c>
      <c r="G53" s="2" t="s">
        <v>952</v>
      </c>
      <c r="H53" s="2" t="s">
        <v>302</v>
      </c>
      <c r="I53" s="2" t="s">
        <v>953</v>
      </c>
      <c r="J53" s="2" t="s">
        <v>50</v>
      </c>
      <c r="K53" s="2" t="s">
        <v>954</v>
      </c>
      <c r="L53" s="15" t="s">
        <v>50</v>
      </c>
      <c r="M53" s="2"/>
    </row>
    <row r="54" spans="1:13" ht="75" customHeight="1">
      <c r="A54" s="2">
        <v>50</v>
      </c>
      <c r="B54" s="2">
        <v>2015</v>
      </c>
      <c r="C54" s="2" t="s">
        <v>955</v>
      </c>
      <c r="D54" s="2"/>
      <c r="E54" s="2" t="s">
        <v>507</v>
      </c>
      <c r="F54" s="14" t="s">
        <v>956</v>
      </c>
      <c r="G54" s="2"/>
      <c r="H54" s="2" t="s">
        <v>957</v>
      </c>
      <c r="I54" s="2" t="s">
        <v>958</v>
      </c>
      <c r="J54" s="2" t="s">
        <v>50</v>
      </c>
      <c r="K54" s="2" t="s">
        <v>959</v>
      </c>
      <c r="L54" s="15" t="s">
        <v>50</v>
      </c>
      <c r="M54" s="2"/>
    </row>
  </sheetData>
  <autoFilter ref="A4:M54"/>
  <dataValidations count="1">
    <dataValidation type="list" allowBlank="1" sqref="L5:L54">
      <formula1>"A,B,C"</formula1>
      <formula2>0</formula2>
    </dataValidation>
  </dataValidations>
  <hyperlinks>
    <hyperlink ref="F5" r:id="rId1"/>
    <hyperlink ref="F6" r:id="rId2"/>
    <hyperlink ref="F7" r:id="rId3"/>
    <hyperlink ref="F8" r:id="rId4"/>
    <hyperlink ref="F9" r:id="rId5"/>
    <hyperlink ref="F10" r:id="rId6"/>
    <hyperlink ref="F11" r:id="rId7"/>
    <hyperlink ref="F12" r:id="rId8"/>
    <hyperlink ref="F13" r:id="rId9"/>
    <hyperlink ref="F14" r:id="rId10"/>
    <hyperlink ref="F15" r:id="rId11"/>
    <hyperlink ref="F16" r:id="rId12"/>
    <hyperlink ref="F17" r:id="rId13"/>
    <hyperlink ref="F18" r:id="rId14"/>
    <hyperlink ref="F19" r:id="rId15"/>
    <hyperlink ref="F20" r:id="rId16"/>
    <hyperlink ref="F21" r:id="rId17"/>
    <hyperlink ref="F22" r:id="rId18"/>
    <hyperlink ref="F23" r:id="rId19"/>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 ref="F47" r:id="rId43"/>
    <hyperlink ref="F48" r:id="rId44"/>
    <hyperlink ref="F49" r:id="rId45"/>
    <hyperlink ref="F50" r:id="rId46"/>
    <hyperlink ref="F51" r:id="rId47"/>
    <hyperlink ref="F52" r:id="rId48"/>
    <hyperlink ref="F53" r:id="rId49"/>
    <hyperlink ref="F54" r:id="rId5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zoomScaleNormal="100" workbookViewId="0">
      <selection activeCell="D24" sqref="D24"/>
    </sheetView>
  </sheetViews>
  <sheetFormatPr defaultColWidth="8.7109375" defaultRowHeight="15"/>
  <cols>
    <col min="1" max="1" width="18" customWidth="1"/>
    <col min="2" max="3" width="16" customWidth="1"/>
    <col min="4" max="4" width="18" customWidth="1"/>
  </cols>
  <sheetData>
    <row r="1" spans="1:4">
      <c r="A1" s="4" t="s">
        <v>960</v>
      </c>
    </row>
    <row r="3" spans="1:4">
      <c r="A3" s="17" t="s">
        <v>31</v>
      </c>
      <c r="B3" s="17" t="s">
        <v>961</v>
      </c>
      <c r="C3" s="17" t="s">
        <v>962</v>
      </c>
      <c r="D3" s="17" t="s">
        <v>963</v>
      </c>
    </row>
    <row r="4" spans="1:4">
      <c r="A4" s="5">
        <v>2005</v>
      </c>
      <c r="B4" s="18">
        <v>28</v>
      </c>
      <c r="C4" s="18">
        <v>24</v>
      </c>
      <c r="D4" s="9">
        <f t="shared" ref="D4:D24" si="0">C4/B4</f>
        <v>0.8571428571428571</v>
      </c>
    </row>
    <row r="5" spans="1:4">
      <c r="A5" s="5">
        <v>2006</v>
      </c>
      <c r="B5" s="18">
        <v>37</v>
      </c>
      <c r="C5" s="18">
        <v>35</v>
      </c>
      <c r="D5" s="9">
        <f t="shared" si="0"/>
        <v>0.94594594594594594</v>
      </c>
    </row>
    <row r="6" spans="1:4">
      <c r="A6" s="5">
        <v>2007</v>
      </c>
      <c r="B6" s="18">
        <v>43</v>
      </c>
      <c r="C6" s="18">
        <v>38</v>
      </c>
      <c r="D6" s="9">
        <f t="shared" si="0"/>
        <v>0.88372093023255816</v>
      </c>
    </row>
    <row r="7" spans="1:4">
      <c r="A7" s="5">
        <v>2008</v>
      </c>
      <c r="B7" s="18">
        <v>44</v>
      </c>
      <c r="C7" s="18">
        <v>38</v>
      </c>
      <c r="D7" s="9">
        <f t="shared" si="0"/>
        <v>0.86363636363636365</v>
      </c>
    </row>
    <row r="8" spans="1:4">
      <c r="A8" s="5">
        <v>2009</v>
      </c>
      <c r="B8" s="18">
        <v>55</v>
      </c>
      <c r="C8" s="18">
        <v>48</v>
      </c>
      <c r="D8" s="9">
        <f t="shared" si="0"/>
        <v>0.87272727272727268</v>
      </c>
    </row>
    <row r="9" spans="1:4">
      <c r="A9" s="5">
        <v>2010</v>
      </c>
      <c r="B9" s="18">
        <v>55</v>
      </c>
      <c r="C9" s="18">
        <v>48</v>
      </c>
      <c r="D9" s="9">
        <f t="shared" si="0"/>
        <v>0.87272727272727268</v>
      </c>
    </row>
    <row r="10" spans="1:4">
      <c r="A10" s="5">
        <v>2011</v>
      </c>
      <c r="B10" s="18">
        <v>75</v>
      </c>
      <c r="C10" s="18">
        <v>65</v>
      </c>
      <c r="D10" s="9">
        <f t="shared" si="0"/>
        <v>0.8666666666666667</v>
      </c>
    </row>
    <row r="11" spans="1:4">
      <c r="A11" s="5">
        <v>2012</v>
      </c>
      <c r="B11" s="18">
        <v>105</v>
      </c>
      <c r="C11" s="18">
        <v>84</v>
      </c>
      <c r="D11" s="9">
        <f t="shared" si="0"/>
        <v>0.8</v>
      </c>
    </row>
    <row r="12" spans="1:4">
      <c r="A12" s="5">
        <v>2013</v>
      </c>
      <c r="B12" s="18">
        <v>157</v>
      </c>
      <c r="C12" s="18">
        <v>124</v>
      </c>
      <c r="D12" s="9">
        <f t="shared" si="0"/>
        <v>0.78980891719745228</v>
      </c>
    </row>
    <row r="13" spans="1:4">
      <c r="A13" s="5">
        <v>2014</v>
      </c>
      <c r="B13" s="18">
        <v>185</v>
      </c>
      <c r="C13" s="18">
        <v>132</v>
      </c>
      <c r="D13" s="9">
        <f t="shared" si="0"/>
        <v>0.71351351351351355</v>
      </c>
    </row>
    <row r="14" spans="1:4">
      <c r="A14" s="5">
        <v>2015</v>
      </c>
      <c r="B14" s="18">
        <v>330</v>
      </c>
      <c r="C14" s="18">
        <v>266</v>
      </c>
      <c r="D14" s="9">
        <f t="shared" si="0"/>
        <v>0.80606060606060603</v>
      </c>
    </row>
    <row r="15" spans="1:4">
      <c r="A15" s="5">
        <v>2016</v>
      </c>
      <c r="B15" s="18">
        <v>507</v>
      </c>
      <c r="C15" s="18">
        <v>394</v>
      </c>
      <c r="D15" s="9">
        <f t="shared" si="0"/>
        <v>0.77712031558185402</v>
      </c>
    </row>
    <row r="16" spans="1:4">
      <c r="A16" s="5">
        <v>2017</v>
      </c>
      <c r="B16" s="18">
        <v>642</v>
      </c>
      <c r="C16" s="18">
        <v>502</v>
      </c>
      <c r="D16" s="9">
        <f t="shared" si="0"/>
        <v>0.7819314641744548</v>
      </c>
    </row>
    <row r="17" spans="1:4">
      <c r="A17" s="5">
        <v>2018</v>
      </c>
      <c r="B17" s="18">
        <v>906</v>
      </c>
      <c r="C17" s="18">
        <v>659</v>
      </c>
      <c r="D17" s="9">
        <f t="shared" si="0"/>
        <v>0.72737306843267113</v>
      </c>
    </row>
    <row r="18" spans="1:4">
      <c r="A18" s="5">
        <v>2019</v>
      </c>
      <c r="B18" s="18">
        <v>1248</v>
      </c>
      <c r="C18" s="18">
        <v>926</v>
      </c>
      <c r="D18" s="9">
        <f t="shared" si="0"/>
        <v>0.74198717948717952</v>
      </c>
    </row>
    <row r="19" spans="1:4">
      <c r="A19" s="5">
        <v>2020</v>
      </c>
      <c r="B19" s="18">
        <v>1596</v>
      </c>
      <c r="C19" s="18">
        <v>1155</v>
      </c>
      <c r="D19" s="9">
        <f t="shared" si="0"/>
        <v>0.72368421052631582</v>
      </c>
    </row>
    <row r="20" spans="1:4">
      <c r="A20" s="5">
        <v>2021</v>
      </c>
      <c r="B20" s="18">
        <v>1959</v>
      </c>
      <c r="C20" s="18">
        <v>1445</v>
      </c>
      <c r="D20" s="9">
        <f t="shared" si="0"/>
        <v>0.73762123532414492</v>
      </c>
    </row>
    <row r="21" spans="1:4">
      <c r="A21" s="5">
        <v>2022</v>
      </c>
      <c r="B21" s="18">
        <v>2106</v>
      </c>
      <c r="C21" s="18">
        <v>1550</v>
      </c>
      <c r="D21" s="9">
        <f t="shared" si="0"/>
        <v>0.73599240265906929</v>
      </c>
    </row>
    <row r="22" spans="1:4">
      <c r="A22" s="5">
        <v>2023</v>
      </c>
      <c r="B22" s="18">
        <v>2369</v>
      </c>
      <c r="C22" s="18">
        <v>1696</v>
      </c>
      <c r="D22" s="9">
        <f t="shared" si="0"/>
        <v>0.71591388771633602</v>
      </c>
    </row>
    <row r="23" spans="1:4">
      <c r="A23" s="5">
        <v>2024</v>
      </c>
      <c r="B23" s="18">
        <v>3150</v>
      </c>
      <c r="C23" s="18">
        <v>2188</v>
      </c>
      <c r="D23" s="9">
        <f t="shared" si="0"/>
        <v>0.69460317460317456</v>
      </c>
    </row>
    <row r="24" spans="1:4">
      <c r="A24" s="5">
        <v>2025</v>
      </c>
      <c r="B24" s="18">
        <v>4747</v>
      </c>
      <c r="C24" s="18">
        <v>3309</v>
      </c>
      <c r="D24" s="9">
        <f t="shared" si="0"/>
        <v>0.69707183484305879</v>
      </c>
    </row>
    <row r="26" spans="1:4">
      <c r="A26" s="4" t="s">
        <v>964</v>
      </c>
      <c r="B26" s="8">
        <f>(B24/B4)^(1/20)-1</f>
        <v>0.29259675114724093</v>
      </c>
      <c r="C26" s="8">
        <f>(C24/C4)^(1/20)-1</f>
        <v>0.27930552727598768</v>
      </c>
    </row>
    <row r="27" spans="1:4">
      <c r="A27" s="4" t="s">
        <v>965</v>
      </c>
      <c r="B27" s="8">
        <f>(B24/B14)^(1/10)-1</f>
        <v>0.30554104197764875</v>
      </c>
      <c r="C27" s="8">
        <f>(C24/C14)^(1/10)-1</f>
        <v>0.28671247938447686</v>
      </c>
    </row>
    <row r="29" spans="1:4">
      <c r="A29" s="11" t="s">
        <v>966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Radni listovi</vt:lpstr>
      </vt:variant>
      <vt:variant>
        <vt:i4>5</vt:i4>
      </vt:variant>
    </vt:vector>
  </HeadingPairs>
  <TitlesOfParts>
    <vt:vector size="5" baseType="lpstr">
      <vt:lpstr>Kriteriji</vt:lpstr>
      <vt:lpstr>Sažetak</vt:lpstr>
      <vt:lpstr>Uzorak_100</vt:lpstr>
      <vt:lpstr>Uzorak_50_rano</vt:lpstr>
      <vt:lpstr>Strogi_upit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Vedran</cp:lastModifiedBy>
  <cp:revision>0</cp:revision>
  <dcterms:created xsi:type="dcterms:W3CDTF">2026-08-27T00:28:18Z</dcterms:created>
  <dcterms:modified xsi:type="dcterms:W3CDTF">2026-08-27T00:46:13Z</dcterms:modified>
  <dc:language>en-US</dc:language>
</cp:coreProperties>
</file>